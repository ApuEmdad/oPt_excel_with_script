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vethechildren1-my.sharepoint.com/personal/emdadul_apu_savethechildren_org/Documents/oPT/OPT excel with script/"/>
    </mc:Choice>
  </mc:AlternateContent>
  <xr:revisionPtr revIDLastSave="43" documentId="8_{3AC15858-2319-4C8D-A154-324401E78363}" xr6:coauthVersionLast="47" xr6:coauthVersionMax="47" xr10:uidLastSave="{DB0DB933-6C4F-4FF8-8439-A6B44B9F8CEE}"/>
  <bookViews>
    <workbookView xWindow="-23148" yWindow="-108" windowWidth="23256" windowHeight="12456" tabRatio="676" xr2:uid="{DBD5487C-963F-4A10-8CB6-F9891E6D4C60}"/>
  </bookViews>
  <sheets>
    <sheet name="Update oPt Cases" sheetId="1" r:id="rId1"/>
    <sheet name="sector-wise-focal" sheetId="18" r:id="rId2"/>
    <sheet name="Categories" sheetId="2" r:id="rId3"/>
    <sheet name="Assistance Type" sheetId="3" r:id="rId4"/>
    <sheet name="Feedback" sheetId="12" r:id="rId5"/>
    <sheet name="Breaches" sheetId="5" r:id="rId6"/>
    <sheet name="Negative" sheetId="6" r:id="rId7"/>
    <sheet name="Location" sheetId="7" r:id="rId8"/>
    <sheet name="Governorates" sheetId="8" r:id="rId9"/>
    <sheet name="settlements_gaza" sheetId="9" r:id="rId10"/>
    <sheet name="ongoing_activities" sheetId="10" r:id="rId11"/>
    <sheet name="sub_categories" sheetId="11" r:id="rId12"/>
    <sheet name="means" sheetId="14" r:id="rId13"/>
    <sheet name="channel" sheetId="15" r:id="rId14"/>
    <sheet name="Sectors" sheetId="16" r:id="rId15"/>
    <sheet name="focal_point" sheetId="17" r:id="rId16"/>
  </sheets>
  <definedNames>
    <definedName name="CP">sector_wise_focal[CP]</definedName>
    <definedName name="CSG">'sector-wise-focal'!$H$2</definedName>
    <definedName name="CVA">'sector-wise-focal'!$F$2:$F$3</definedName>
    <definedName name="Educ">sector_wise_focal[Educ]</definedName>
    <definedName name="filtered_governorates">_xlfn._xlws.FILTER(Governorates!$E$2:$E$1000, Governorates!$D$2:$D$1000 = 'Update oPt Cases'!$Z1)</definedName>
    <definedName name="FP_CP">'sector-wise-focal'!$A$1:$A$1</definedName>
    <definedName name="FP_CSG">'sector-wise-focal'!#REF!</definedName>
    <definedName name="FP_CVA">'sector-wise-focal'!$C$1:$C$2</definedName>
    <definedName name="FP_Educ">'sector-wise-focal'!$D$1:$D$3</definedName>
    <definedName name="FP_Fraud">'sector-wise-focal'!#REF!</definedName>
    <definedName name="FP_FSL">'sector-wise-focal'!$E$1:$E$1</definedName>
    <definedName name="FP_Health_Nutrition">'sector-wise-focal'!#REF!</definedName>
    <definedName name="FP_HR">'sector-wise-focal'!#REF!</definedName>
    <definedName name="FP_PSEA">'sector-wise-focal'!#REF!</definedName>
    <definedName name="FP_Shelter">'sector-wise-focal'!#REF!</definedName>
    <definedName name="FP_WASH">'sector-wise-focal'!#REF!</definedName>
    <definedName name="Fraud">'sector-wise-focal'!$L$2</definedName>
    <definedName name="FSL">sector_wise_focal[FSL]</definedName>
    <definedName name="Health_Nutrition">'sector-wise-focal'!$D$2</definedName>
    <definedName name="HR">'sector-wise-focal'!$J$2</definedName>
    <definedName name="PSEA">'sector-wise-focal'!$I$2</definedName>
    <definedName name="Security_threats">'sector-wise-focal'!$K$2</definedName>
    <definedName name="Shelter">'sector-wise-focal'!$G$2</definedName>
    <definedName name="WASH">'sector-wise-focal'!$C$2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2" i="1" l="1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</calcChain>
</file>

<file path=xl/sharedStrings.xml><?xml version="1.0" encoding="utf-8"?>
<sst xmlns="http://schemas.openxmlformats.org/spreadsheetml/2006/main" count="417" uniqueCount="255">
  <si>
    <t>ID</t>
  </si>
  <si>
    <t>Title</t>
  </si>
  <si>
    <t>Created</t>
  </si>
  <si>
    <t>Created Person</t>
  </si>
  <si>
    <t>start</t>
  </si>
  <si>
    <t>end</t>
  </si>
  <si>
    <t>Submission Status</t>
  </si>
  <si>
    <t>Status</t>
  </si>
  <si>
    <t>categories</t>
  </si>
  <si>
    <t>categories_not_sure</t>
  </si>
  <si>
    <t>registration_methodology</t>
  </si>
  <si>
    <t>employee_code</t>
  </si>
  <si>
    <t>employee_name</t>
  </si>
  <si>
    <t>assistance_types</t>
  </si>
  <si>
    <t>OtherSpecifyassistance</t>
  </si>
  <si>
    <t>feedback</t>
  </si>
  <si>
    <t>Breaches</t>
  </si>
  <si>
    <t>Negative</t>
  </si>
  <si>
    <t>name</t>
  </si>
  <si>
    <t>First_Name</t>
  </si>
  <si>
    <t>Second_Name</t>
  </si>
  <si>
    <t>Third_Name</t>
  </si>
  <si>
    <t>Last_Name</t>
  </si>
  <si>
    <t>sex</t>
  </si>
  <si>
    <t>age</t>
  </si>
  <si>
    <t>where</t>
  </si>
  <si>
    <t>governorate</t>
  </si>
  <si>
    <t>settlement_gaza</t>
  </si>
  <si>
    <t>settlement_west_bank</t>
  </si>
  <si>
    <t>assistance</t>
  </si>
  <si>
    <t>ongoing_activities</t>
  </si>
  <si>
    <t>ongoing_activities_other</t>
  </si>
  <si>
    <t>sub_categories</t>
  </si>
  <si>
    <t>sub_categories_other</t>
  </si>
  <si>
    <t>What_is_your_ID</t>
  </si>
  <si>
    <t>What_is_your_phone_number</t>
  </si>
  <si>
    <t>feedback_001</t>
  </si>
  <si>
    <t>answer</t>
  </si>
  <si>
    <t>answer_mode</t>
  </si>
  <si>
    <t>mode_other</t>
  </si>
  <si>
    <t>contact_details</t>
  </si>
  <si>
    <t>channels</t>
  </si>
  <si>
    <t>specify</t>
  </si>
  <si>
    <t>HHSize</t>
  </si>
  <si>
    <t>Do you want to assign to Focal Point?</t>
  </si>
  <si>
    <t>Sector</t>
  </si>
  <si>
    <t>Send Email to Focal Point?</t>
  </si>
  <si>
    <t>Focal Point</t>
  </si>
  <si>
    <t>Focal_Point_Email</t>
  </si>
  <si>
    <t>Created By</t>
  </si>
  <si>
    <t>Modified</t>
  </si>
  <si>
    <t>Modified By</t>
  </si>
  <si>
    <t>Shaqaliah, Ali</t>
  </si>
  <si>
    <t>Zaghloul, Asma</t>
  </si>
  <si>
    <t>Al Naouq, Khalid</t>
  </si>
  <si>
    <t>Abdullah, Maher</t>
  </si>
  <si>
    <t>Qano, Hussain</t>
  </si>
  <si>
    <t>Elias, Johnny</t>
  </si>
  <si>
    <t>Montilla, Jessica Aiza</t>
  </si>
  <si>
    <t>Hamdan, Mohammed</t>
  </si>
  <si>
    <t>Bakeer, Deya</t>
  </si>
  <si>
    <t>Barghouthi, Iman</t>
  </si>
  <si>
    <t>Hmeidan, Dima</t>
  </si>
  <si>
    <t>Rishmawi, Nadine</t>
  </si>
  <si>
    <t>Hamdan, Doaa</t>
  </si>
  <si>
    <t>Shera, Zuaina</t>
  </si>
  <si>
    <t>Said, Ala</t>
  </si>
  <si>
    <t>Nazzal, Yousef</t>
  </si>
  <si>
    <t>SorOrder</t>
  </si>
  <si>
    <t>label</t>
  </si>
  <si>
    <t>thanks</t>
  </si>
  <si>
    <t>0. Thank you messages</t>
  </si>
  <si>
    <t>issue_question</t>
  </si>
  <si>
    <t>1. Request for information</t>
  </si>
  <si>
    <t>2. Request for assistance</t>
  </si>
  <si>
    <t>complaint</t>
  </si>
  <si>
    <t xml:space="preserve">3. Major/Minor dissatisfaction with activities or suggestions for improvement
</t>
  </si>
  <si>
    <t>suggestion</t>
  </si>
  <si>
    <t>4. I have a suggestion for Save the Children about things that Save the Children or a partner of Save the Children could do better</t>
  </si>
  <si>
    <t>safeguarding</t>
  </si>
  <si>
    <t>5. Breaches of Save the Children International’s CSG policy, PSEA policy and Code of Conduct (including fraud concerns) by Save the Children staff or representatives; unsafe programming concerns; security threats</t>
  </si>
  <si>
    <t>other_NGO</t>
  </si>
  <si>
    <t>6. Negative feedback related to other organizations, allegations of abuse or exploitation by non-Save the Children representatives (including community members), or allegations of corruption by non-Save the Children representatives</t>
  </si>
  <si>
    <t>not_sure</t>
  </si>
  <si>
    <t>Other</t>
  </si>
  <si>
    <t>Categories ID</t>
  </si>
  <si>
    <t xml:space="preserve">food_assistance
</t>
  </si>
  <si>
    <t>Food assistance</t>
  </si>
  <si>
    <t>NFIs</t>
  </si>
  <si>
    <t xml:space="preserve">NFI assistance (clothes, hygiene)
</t>
  </si>
  <si>
    <t>water_</t>
  </si>
  <si>
    <t>Water</t>
  </si>
  <si>
    <t>psychological_support</t>
  </si>
  <si>
    <t>MHPSS for Children and/or Adults</t>
  </si>
  <si>
    <t>medical_assistance</t>
  </si>
  <si>
    <t>Health assistance</t>
  </si>
  <si>
    <t>shelter</t>
  </si>
  <si>
    <t>Shelter (tent, rental subsidies)</t>
  </si>
  <si>
    <t>education</t>
  </si>
  <si>
    <t>Education</t>
  </si>
  <si>
    <t>other</t>
  </si>
  <si>
    <t xml:space="preserve">activity_implementing
</t>
  </si>
  <si>
    <t>Dissatisfaction related to  activity delivery</t>
  </si>
  <si>
    <t>activity_quality</t>
  </si>
  <si>
    <t>Dissatisfaction related to the quality of activities or  beneficiaries selection</t>
  </si>
  <si>
    <t>safeguarding_1</t>
  </si>
  <si>
    <t xml:space="preserve">Child safeguarding concern
</t>
  </si>
  <si>
    <t>coc</t>
  </si>
  <si>
    <t>Concern regarding another breach of Code of Conduct</t>
  </si>
  <si>
    <t>adult_psea</t>
  </si>
  <si>
    <t>Adult safeguarding concern (including PSEA)</t>
  </si>
  <si>
    <t>fraud</t>
  </si>
  <si>
    <t>Fraud</t>
  </si>
  <si>
    <t>child_protection1</t>
  </si>
  <si>
    <t>Child protection concern</t>
  </si>
  <si>
    <t>other_organization</t>
  </si>
  <si>
    <t>Report about another organization (NGO, CSO, agency, government etc)</t>
  </si>
  <si>
    <t>West Bank</t>
  </si>
  <si>
    <t>west_bank</t>
  </si>
  <si>
    <t>Gaza</t>
  </si>
  <si>
    <t>gaza</t>
  </si>
  <si>
    <t>Location ID</t>
  </si>
  <si>
    <t>location</t>
  </si>
  <si>
    <t>Ramallah &amp; Albirah</t>
  </si>
  <si>
    <t>Ramallah</t>
  </si>
  <si>
    <t>Hebron</t>
  </si>
  <si>
    <t>Jenin</t>
  </si>
  <si>
    <t>Nablus</t>
  </si>
  <si>
    <t>Tulkarm</t>
  </si>
  <si>
    <t>Qalqilya</t>
  </si>
  <si>
    <t>Bethlehem</t>
  </si>
  <si>
    <t>Jericho</t>
  </si>
  <si>
    <t>East Jerusalem</t>
  </si>
  <si>
    <t>Jerusalem</t>
  </si>
  <si>
    <t>Salfet</t>
  </si>
  <si>
    <t>Tubas</t>
  </si>
  <si>
    <t>North Gaza</t>
  </si>
  <si>
    <t>North_Gaza</t>
  </si>
  <si>
    <t>Dair Al Balah</t>
  </si>
  <si>
    <t>Dair_albalah</t>
  </si>
  <si>
    <t>Khan Younis</t>
  </si>
  <si>
    <t>Khan_younes</t>
  </si>
  <si>
    <t>Rafah</t>
  </si>
  <si>
    <t>governorate_value</t>
  </si>
  <si>
    <t>Governorate</t>
  </si>
  <si>
    <t>Governorate_ID</t>
  </si>
  <si>
    <t>Al-Maghraqa</t>
  </si>
  <si>
    <t>Al-Zahraa</t>
  </si>
  <si>
    <t>Wadi Gaza</t>
  </si>
  <si>
    <t>Al Naser</t>
  </si>
  <si>
    <t>Al Shoka</t>
  </si>
  <si>
    <t>Abasan Al Saghirah</t>
  </si>
  <si>
    <t>Abasan Al Kabirah</t>
  </si>
  <si>
    <t>Al-Fakhari</t>
  </si>
  <si>
    <t>Al-Qarara</t>
  </si>
  <si>
    <t>Bani Suhaila</t>
  </si>
  <si>
    <t>Khan Yunis</t>
  </si>
  <si>
    <t>Khuza'a</t>
  </si>
  <si>
    <t>Al-Bureij</t>
  </si>
  <si>
    <t>Al-Maghazi</t>
  </si>
  <si>
    <t>Al-Masdar</t>
  </si>
  <si>
    <t>Al-Zawaida</t>
  </si>
  <si>
    <t>Al-Nuseirat</t>
  </si>
  <si>
    <t>Deir al-Balah</t>
  </si>
  <si>
    <t>Wadi al-Salqa</t>
  </si>
  <si>
    <t>Beit Hanoun</t>
  </si>
  <si>
    <t>Beit Lahia</t>
  </si>
  <si>
    <t>Jabalia</t>
  </si>
  <si>
    <t>Umm Al-Nasr</t>
  </si>
  <si>
    <t>CASH_assistance</t>
  </si>
  <si>
    <t>CASH assistance</t>
  </si>
  <si>
    <t>water_access</t>
  </si>
  <si>
    <t>Access to water</t>
  </si>
  <si>
    <t>Hygiene_kits</t>
  </si>
  <si>
    <t>Hygiene kits</t>
  </si>
  <si>
    <t>Psychosocial_support</t>
  </si>
  <si>
    <t>Psychosocial support</t>
  </si>
  <si>
    <t>Case_management</t>
  </si>
  <si>
    <t>Case management</t>
  </si>
  <si>
    <t>Health_services</t>
  </si>
  <si>
    <t>Health services</t>
  </si>
  <si>
    <t>Malnutrition_treatment</t>
  </si>
  <si>
    <t>Malnutrition treatment</t>
  </si>
  <si>
    <t>Children_counselling</t>
  </si>
  <si>
    <t>Infant Young Children feeding counselling</t>
  </si>
  <si>
    <t>Parenting_sessions</t>
  </si>
  <si>
    <t>Parenting sessions</t>
  </si>
  <si>
    <t>Food_parcels</t>
  </si>
  <si>
    <t>Food parcels</t>
  </si>
  <si>
    <t>Dignity_kits</t>
  </si>
  <si>
    <t>Dignity kits</t>
  </si>
  <si>
    <t>Shelter_kits</t>
  </si>
  <si>
    <t>Shelter kits</t>
  </si>
  <si>
    <t>I'm not sure</t>
  </si>
  <si>
    <t>Code_issue</t>
  </si>
  <si>
    <t>Code issue</t>
  </si>
  <si>
    <t>incorrect</t>
  </si>
  <si>
    <t>The ID number is not correct</t>
  </si>
  <si>
    <t>lost_phone</t>
  </si>
  <si>
    <t>I lost my phone - please send the code to a new number</t>
  </si>
  <si>
    <t>Functioning_agents</t>
  </si>
  <si>
    <t>Functioning agents</t>
  </si>
  <si>
    <t>money_amount</t>
  </si>
  <si>
    <t>What is the amount of the money I should receive?</t>
  </si>
  <si>
    <t>Missing_items</t>
  </si>
  <si>
    <t>Missing items from a kit</t>
  </si>
  <si>
    <t>whatsapp</t>
  </si>
  <si>
    <t>WhatsApp</t>
  </si>
  <si>
    <t>facebook_messenger</t>
  </si>
  <si>
    <t>Facebook</t>
  </si>
  <si>
    <t>e_mail</t>
  </si>
  <si>
    <t>E-mail</t>
  </si>
  <si>
    <t>sms</t>
  </si>
  <si>
    <t>SMS</t>
  </si>
  <si>
    <t>phone_call</t>
  </si>
  <si>
    <t>Phone call</t>
  </si>
  <si>
    <t>face_to_face</t>
  </si>
  <si>
    <t>Face to face</t>
  </si>
  <si>
    <t>hotline</t>
  </si>
  <si>
    <t>Hotline</t>
  </si>
  <si>
    <t>email</t>
  </si>
  <si>
    <t>Email</t>
  </si>
  <si>
    <t>scimember</t>
  </si>
  <si>
    <t>SCI Team member</t>
  </si>
  <si>
    <t>Educ</t>
  </si>
  <si>
    <t>CP</t>
  </si>
  <si>
    <t>WASH</t>
  </si>
  <si>
    <t>Health/Nutrition</t>
  </si>
  <si>
    <t>FSL</t>
  </si>
  <si>
    <t>CVA</t>
  </si>
  <si>
    <t>Shelter</t>
  </si>
  <si>
    <t>CSG</t>
  </si>
  <si>
    <t>PSEA</t>
  </si>
  <si>
    <t>HR</t>
  </si>
  <si>
    <t>Security threats</t>
  </si>
  <si>
    <t>Location</t>
  </si>
  <si>
    <t>Sector: ID</t>
  </si>
  <si>
    <t>focal_point_email</t>
  </si>
  <si>
    <t>Maher.Abdullah@savethechildren.org</t>
  </si>
  <si>
    <t>Ali.Shaqaliah@savethechildren.org</t>
  </si>
  <si>
    <t>Deya.Bakeer@savethechildren.org</t>
  </si>
  <si>
    <t>mohammed.hamdan@savethechildren.org</t>
  </si>
  <si>
    <t>Hussain.Qano@savethechildren.org</t>
  </si>
  <si>
    <t>Khalid.AlNaouq@savethechildren.org</t>
  </si>
  <si>
    <t>Asma.Zaghloul@savethechildren.org</t>
  </si>
  <si>
    <t>JessicaAiza.Montilla@savethechildren.org</t>
  </si>
  <si>
    <t>Nadine.Rishmawi@savethechildren.org</t>
  </si>
  <si>
    <t>Ala.Said@savethechildren.org</t>
  </si>
  <si>
    <t>Iman.Barghouthi@savethechildren.org</t>
  </si>
  <si>
    <t>doa'a.hamdan@savethechildren.org</t>
  </si>
  <si>
    <t>yousef.nazzal@savethechildren.org</t>
  </si>
  <si>
    <t>Dima.Hmeidan@savethechildren.org</t>
  </si>
  <si>
    <t>johnny.elias@savethechildren.org</t>
  </si>
  <si>
    <t>zuaina.shera@savethechildren.org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</si>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</sst>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22" fontId="0" fillId="0" borderId="0" xfId="0" applyNumberFormat="1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1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0" formatCode="General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0" formatCode="General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numFmt numFmtId="19" formatCode="m/d/yyyy"/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86414-4E65-4B0C-B087-908E4403AE31}" name="update_cases" displayName="update_cases" ref="A1:AZ2" totalsRowShown="0" headerRowDxfId="140" dataDxfId="139">
  <autoFilter ref="A1:AZ2" xr:uid="{67F86414-4E65-4B0C-B087-908E4403AE31}"/>
  <tableColumns count="52">
    <tableColumn id="1" xr3:uid="{82187823-DBC2-4555-9734-2B221CABCA5F}" name="ID" dataDxfId="138"/>
    <tableColumn id="2" xr3:uid="{1C45D9AC-C562-470E-9DD0-8D0CDBB55088}" name="Title" dataDxfId="137"/>
    <tableColumn id="3" xr3:uid="{9A8F4049-7C84-4745-A5D9-AC4A06265CEB}" name="Created" dataDxfId="136"/>
    <tableColumn id="4" xr3:uid="{222B38ED-8D5E-4B94-A9CE-E66F3A1C91F5}" name="Created Person" dataDxfId="135"/>
    <tableColumn id="5" xr3:uid="{F50F9CC8-A183-4042-8E6A-29EDD6CBCEDB}" name="start" dataDxfId="134"/>
    <tableColumn id="6" xr3:uid="{77185F82-5F2B-4FEC-98D9-77EBF90EA17A}" name="end" dataDxfId="133"/>
    <tableColumn id="7" xr3:uid="{23848B4F-E058-47A2-8839-A259988FEB45}" name="Submission Status" dataDxfId="132"/>
    <tableColumn id="8" xr3:uid="{E04AF052-32F9-4F42-B206-3CB7C014FD15}" name="Status" dataDxfId="131"/>
    <tableColumn id="9" xr3:uid="{915FD291-D70B-4F9D-A042-81F931EF026C}" name="categories" dataDxfId="130"/>
    <tableColumn id="10" xr3:uid="{C520FEBE-02C3-4C3F-B7A7-31AA6E2E9379}" name="categories_not_sure" dataDxfId="129"/>
    <tableColumn id="11" xr3:uid="{9D37EC0B-2C46-4202-8F03-9BD04F779524}" name="registration_methodology" dataDxfId="128"/>
    <tableColumn id="12" xr3:uid="{37A4D283-B9F9-4EE4-BC2B-F8893B4AE6E1}" name="employee_code" dataDxfId="127"/>
    <tableColumn id="13" xr3:uid="{80B81084-9F58-496B-AC70-4A2456E2142D}" name="employee_name" dataDxfId="126"/>
    <tableColumn id="14" xr3:uid="{4AA6362B-E859-4780-B6E6-EBE73ACB084D}" name="assistance_types" dataDxfId="125"/>
    <tableColumn id="15" xr3:uid="{C531DD09-0BB3-4430-ADAD-2AD6EE6F7523}" name="OtherSpecifyassistance" dataDxfId="124"/>
    <tableColumn id="16" xr3:uid="{FDC0CFE3-242F-49EF-BAC0-03BFCA5DECBD}" name="feedback" dataDxfId="123"/>
    <tableColumn id="17" xr3:uid="{629529DD-18C0-4F98-9F27-AF01FFE090A9}" name="Breaches" dataDxfId="122"/>
    <tableColumn id="18" xr3:uid="{6ABC522C-B9E4-448B-B72B-F7FAA8A55250}" name="Negative" dataDxfId="121"/>
    <tableColumn id="19" xr3:uid="{AF8FF1E1-9732-4BE8-A143-0D765A5614BB}" name="name" dataDxfId="120"/>
    <tableColumn id="20" xr3:uid="{6CF04C6B-711F-4B72-84E5-5C91F8F714DF}" name="First_Name" dataDxfId="119"/>
    <tableColumn id="21" xr3:uid="{47BB4ACD-4862-4C03-B88C-3F54CA224EDD}" name="Second_Name" dataDxfId="118"/>
    <tableColumn id="22" xr3:uid="{E627A1B1-3539-478E-93DD-DB7062B8BAFC}" name="Third_Name" dataDxfId="117"/>
    <tableColumn id="23" xr3:uid="{25AF4DF3-AD0B-49F9-A56F-9B714E733AB7}" name="Last_Name" dataDxfId="116"/>
    <tableColumn id="24" xr3:uid="{2BE61CE7-CD93-4C7C-BBFD-3936F2A458B5}" name="sex" dataDxfId="115"/>
    <tableColumn id="25" xr3:uid="{50E53108-57BF-41E3-A54A-A2948AF2A5CE}" name="age" dataDxfId="114"/>
    <tableColumn id="26" xr3:uid="{11E71974-7FC6-4FF7-9468-0C9E4B30EA9C}" name="where" dataDxfId="113"/>
    <tableColumn id="27" xr3:uid="{FBDE8538-F19B-40EB-ACE1-FDBB38D767C4}" name="governorate" dataDxfId="112"/>
    <tableColumn id="28" xr3:uid="{34A2A891-CDAB-42EA-B5E8-9C20278065D2}" name="settlement_gaza" dataDxfId="111"/>
    <tableColumn id="62" xr3:uid="{B32E1C2F-E8E0-4C83-AAC0-87D5E19DB67F}" name="settlement_west_bank" dataDxfId="110"/>
    <tableColumn id="29" xr3:uid="{F27F7130-80C6-46E7-805E-292ABAB43BBE}" name="assistance" dataDxfId="109"/>
    <tableColumn id="30" xr3:uid="{7BB0F74F-6EA5-4E02-AAB5-FFC20384C4CE}" name="ongoing_activities" dataDxfId="108"/>
    <tableColumn id="31" xr3:uid="{7FE1B806-9617-4F21-8283-DE0BFD844C90}" name="ongoing_activities_other" dataDxfId="107"/>
    <tableColumn id="32" xr3:uid="{771908F4-7997-4AC1-80D2-00E0A703EFFE}" name="sub_categories" dataDxfId="106"/>
    <tableColumn id="33" xr3:uid="{E5F1698B-5F37-4409-88FF-926362D8D99B}" name="sub_categories_other" dataDxfId="105"/>
    <tableColumn id="34" xr3:uid="{59477AB0-DBDE-4144-9043-578044ACAE63}" name="What_is_your_ID" dataDxfId="104"/>
    <tableColumn id="35" xr3:uid="{F26997A3-7F0C-4806-AF87-AEA5776F4F92}" name="What_is_your_phone_number" dataDxfId="103"/>
    <tableColumn id="36" xr3:uid="{8A22B727-D473-4A22-8BBE-D1B906B89A1F}" name="feedback_001" dataDxfId="102"/>
    <tableColumn id="37" xr3:uid="{9B59A852-E750-42A1-BA56-7F515EE1D482}" name="answer" dataDxfId="101"/>
    <tableColumn id="38" xr3:uid="{6D2C93E7-2F50-45DE-9E30-12D37B464065}" name="answer_mode" dataDxfId="100"/>
    <tableColumn id="39" xr3:uid="{421825CD-6A50-45B9-9046-25CD34C40D64}" name="mode_other" dataDxfId="99"/>
    <tableColumn id="40" xr3:uid="{BFF0DBB4-7308-474C-93AD-75EA238641E0}" name="contact_details" dataDxfId="98"/>
    <tableColumn id="41" xr3:uid="{D9EE8A35-B8D3-45A9-93DA-2AECEFEC86C1}" name="channels" dataDxfId="97"/>
    <tableColumn id="42" xr3:uid="{1CBB74DF-FFD3-480A-8965-AFBD63C81D20}" name="specify" dataDxfId="96"/>
    <tableColumn id="54" xr3:uid="{5B54D997-A11C-42FB-9840-BD9BB9F4C8FE}" name="HHSize" dataDxfId="95"/>
    <tableColumn id="55" xr3:uid="{3E8B6567-136A-4010-B9DB-F7919D68FBE6}" name="Do you want to assign to Focal Point?" dataDxfId="94"/>
    <tableColumn id="56" xr3:uid="{FE538099-C2ED-46FE-8787-F535B37F97B5}" name="Sector" dataDxfId="93"/>
    <tableColumn id="57" xr3:uid="{7C591B85-E14B-41D2-8854-1A293224ABF7}" name="Send Email to Focal Point?" dataDxfId="92"/>
    <tableColumn id="58" xr3:uid="{CEBB3A0E-B1FC-4430-8F37-F3601DEAAF94}" name="Focal Point" dataDxfId="91"/>
    <tableColumn id="43" xr3:uid="{8D32ECFF-7121-4E78-89CB-C6F3F6F01C78}" name="Focal_Point_Email" dataDxfId="90">
      <calculatedColumnFormula>IF(AV2="", "", _xlfn.XLOOKUP(AV2, focal_point[Focal Point], focal_point[focal_point_email], ""))</calculatedColumnFormula>
    </tableColumn>
    <tableColumn id="59" xr3:uid="{818435D5-5ECF-4A03-96C4-B6CDD8F24E4B}" name="Created By" dataDxfId="89"/>
    <tableColumn id="60" xr3:uid="{D1F02E08-C97D-464A-B46A-7C66733AB676}" name="Modified" dataDxfId="88"/>
    <tableColumn id="61" xr3:uid="{C96248F9-212E-43D4-A154-5AB4E24EA0C2}" name="Modified By" dataDxfId="8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90DCF48-D824-4150-A267-155C92A282DC}" name="sector_wise_focal" displayName="sector_wise_focal" ref="A1:L4" totalsRowShown="0" headerRowDxfId="86" tableBorderDxfId="85">
  <autoFilter ref="A1:L4" xr:uid="{C90DCF48-D824-4150-A267-155C92A282DC}"/>
  <tableColumns count="12">
    <tableColumn id="1" xr3:uid="{756BDD35-2837-4A38-AD77-2B9EDCB56411}" name="Educ" dataDxfId="84"/>
    <tableColumn id="2" xr3:uid="{3C59785C-1D3D-4429-9891-4301887583B4}" name="CP" dataDxfId="83"/>
    <tableColumn id="3" xr3:uid="{4351368E-6E2D-476E-8767-BD7995B1CD99}" name="WASH"/>
    <tableColumn id="4" xr3:uid="{01B6E8BC-6CCB-43D4-BA41-3C36FD484B74}" name="Health/Nutrition"/>
    <tableColumn id="5" xr3:uid="{1F3B6471-4A7D-4C1F-BC98-036FB95F555B}" name="FSL" dataDxfId="82"/>
    <tableColumn id="6" xr3:uid="{4F9A8060-CF88-4551-B190-F2DE29ED6B66}" name="CVA"/>
    <tableColumn id="7" xr3:uid="{4C0B7F16-1777-4028-9F6D-0B036D5E56CD}" name="Shelter"/>
    <tableColumn id="8" xr3:uid="{A0CE4119-15FA-47D8-9810-DAE74ACBE147}" name="CSG"/>
    <tableColumn id="9" xr3:uid="{7FE09E4E-7EDB-417A-ADAC-354CF5600144}" name="PSEA"/>
    <tableColumn id="10" xr3:uid="{9C214442-4A9A-43F7-888B-EC716F515F3F}" name="HR"/>
    <tableColumn id="11" xr3:uid="{7164E66C-A34E-4307-9681-FCB29B35D0E2}" name="Security threats"/>
    <tableColumn id="12" xr3:uid="{BDE29E91-9223-4DA6-9F36-777D1B420F6D}" name="Frau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24889F-85B7-49D9-A133-41DCF437BCF9}" name="categories" displayName="categories" ref="A1:D9" totalsRowShown="0" headerRowDxfId="81" dataDxfId="80">
  <autoFilter ref="A1:D9" xr:uid="{AA24889F-85B7-49D9-A133-41DCF437BCF9}"/>
  <tableColumns count="4">
    <tableColumn id="1" xr3:uid="{1A454623-B1F8-47E1-8EA1-CA52F239173B}" name="ID" dataDxfId="79"/>
    <tableColumn id="2" xr3:uid="{355BE27F-5A0E-4B04-987F-789A094B6BD8}" name="SorOrder" dataDxfId="78"/>
    <tableColumn id="3" xr3:uid="{6B96EDFB-71D9-463D-9B8E-AEDF37770182}" name="name" dataDxfId="77"/>
    <tableColumn id="4" xr3:uid="{92EF2692-2C95-4EE6-9C61-2661C40ACBA4}" name="label" dataDxfId="7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483C20-34FA-4DF5-A9E3-DB6E85B01DF4}" name="assistant_type" displayName="assistant_type" ref="A1:D9" totalsRowShown="0" headerRowDxfId="75" dataDxfId="74">
  <autoFilter ref="A1:D9" xr:uid="{59483C20-34FA-4DF5-A9E3-DB6E85B01DF4}"/>
  <tableColumns count="4">
    <tableColumn id="1" xr3:uid="{36A5B280-E5F4-4E26-B724-C93A163E4F55}" name="ID" dataDxfId="73"/>
    <tableColumn id="2" xr3:uid="{BAAE6713-37CC-4B21-9049-9D012BF1E4DD}" name="Categories ID" dataDxfId="72"/>
    <tableColumn id="3" xr3:uid="{22DD8C91-A3BB-4A0B-8E18-30970E5098B9}" name="name" dataDxfId="71"/>
    <tableColumn id="4" xr3:uid="{82F71BFC-985F-4FE3-83AA-569EF57EEB73}" name="label" dataDxfId="7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2A38F37-87EA-4DE3-9103-7CDF0F2CED3B}" name="Table11" displayName="Table11" ref="A1:D3" totalsRowShown="0" headerRowDxfId="69" dataDxfId="68">
  <autoFilter ref="A1:D3" xr:uid="{C2A38F37-87EA-4DE3-9103-7CDF0F2CED3B}"/>
  <tableColumns count="4">
    <tableColumn id="1" xr3:uid="{85CE332A-203F-43F0-BC09-AAF5746DE0A3}" name="ID" dataDxfId="67"/>
    <tableColumn id="2" xr3:uid="{5EC5AB5A-92F4-4204-ACD3-C0D21A72D475}" name="Categories ID" dataDxfId="66"/>
    <tableColumn id="3" xr3:uid="{2D75FBAD-34AC-4682-B6F6-9BC0C595F414}" name="name" dataDxfId="65"/>
    <tableColumn id="4" xr3:uid="{F3E6BD1F-8DF2-4394-9C67-A1FA7544306F}" name="label" dataDxfId="6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57AB12-862B-4CC0-8CAE-3F554B9025AB}" name="breaches" displayName="breaches" ref="A1:D5" totalsRowShown="0" headerRowDxfId="63" dataDxfId="62">
  <autoFilter ref="A1:D5" xr:uid="{2B57AB12-862B-4CC0-8CAE-3F554B9025AB}"/>
  <tableColumns count="4">
    <tableColumn id="1" xr3:uid="{3A1B00FD-D895-4725-AFB2-91903A9C3634}" name="ID" dataDxfId="61"/>
    <tableColumn id="2" xr3:uid="{BD875A6C-40DC-4EAE-A9D9-EF619101BB70}" name="Categories ID" dataDxfId="60"/>
    <tableColumn id="3" xr3:uid="{6915872B-6AC3-417A-AD03-3F7A3DAFB5FF}" name="name" dataDxfId="59"/>
    <tableColumn id="4" xr3:uid="{940F32C7-4F9E-4F9F-8599-9A36AA60633E}" name="label" dataDxfId="5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AA7E2A-FC56-4ABA-9B65-E4B6470676E8}" name="negative" displayName="negative" ref="A1:D3" totalsRowShown="0" headerRowDxfId="57" dataDxfId="56">
  <autoFilter ref="A1:D3" xr:uid="{5FAA7E2A-FC56-4ABA-9B65-E4B6470676E8}"/>
  <tableColumns count="4">
    <tableColumn id="1" xr3:uid="{ED7A5F40-9971-4542-87FC-9BB2F9DC0E74}" name="ID" dataDxfId="55"/>
    <tableColumn id="2" xr3:uid="{E97FB73F-342E-483B-A482-AB82A0041269}" name="Categories ID" dataDxfId="54"/>
    <tableColumn id="3" xr3:uid="{3D118C6B-7B34-4855-BDA1-5FE1C6885801}" name="name" dataDxfId="53"/>
    <tableColumn id="4" xr3:uid="{73574611-5C3F-48B5-A832-8AAC23DC4E31}" name="label" dataDxfId="5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532225-1FD8-4752-8F71-5F6EE316D5DB}" name="location" displayName="location" ref="A1:C3" totalsRowShown="0" headerRowDxfId="51" dataDxfId="50">
  <autoFilter ref="A1:C3" xr:uid="{D1532225-1FD8-4752-8F71-5F6EE316D5DB}"/>
  <tableColumns count="3">
    <tableColumn id="1" xr3:uid="{B9473CA6-97A9-43A9-9819-BBF3743915F7}" name="Title" dataDxfId="49"/>
    <tableColumn id="2" xr3:uid="{BDA400B8-B3B7-41F2-A12A-CB22B5B0691E}" name="ID" dataDxfId="48"/>
    <tableColumn id="3" xr3:uid="{CCD41E69-F264-4102-ACDA-3AFEF5CA221B}" name="name" dataDxfId="4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C0870C-9504-4CEA-B241-2FE77643BB27}" name="governorates" displayName="governorates" ref="A1:E17" totalsRowShown="0" headerRowDxfId="46" dataDxfId="45">
  <autoFilter ref="A1:E17" xr:uid="{F0C0870C-9504-4CEA-B241-2FE77643BB27}"/>
  <tableColumns count="5">
    <tableColumn id="1" xr3:uid="{B6244935-56FA-4ABC-8D2C-9E43D1CEBEDA}" name="ID" dataDxfId="44"/>
    <tableColumn id="2" xr3:uid="{3BDA16BB-C249-4FCF-83D3-D154F3DE8CDD}" name="Title" dataDxfId="43"/>
    <tableColumn id="3" xr3:uid="{39D633D5-4ED0-4700-A0B9-6F9F2D027885}" name="Location ID" dataDxfId="42"/>
    <tableColumn id="5" xr3:uid="{6A429268-C862-4A7C-B747-006FA70B35FE}" name="location" dataDxfId="41">
      <calculatedColumnFormula>_xlfn.XLOOKUP(C2, Location!B:B, Location!C:C, "")</calculatedColumnFormula>
    </tableColumn>
    <tableColumn id="4" xr3:uid="{E2E16E79-E543-4AD9-AE79-57B20D89CA63}" name="name" dataDxfId="4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CFCBC1-421F-4835-A415-EA8162E90D05}" name="settlements_gaza" displayName="settlements_gaza" ref="A1:E26" totalsRowShown="0" headerRowDxfId="39" dataDxfId="38">
  <autoFilter ref="A1:E26" xr:uid="{45CFCBC1-421F-4835-A415-EA8162E90D05}"/>
  <tableColumns count="5">
    <tableColumn id="1" xr3:uid="{F2B26D6C-0FBD-4C84-9B49-AE8B989166B4}" name="ID" dataDxfId="37"/>
    <tableColumn id="2" xr3:uid="{E8948E3B-46B3-4AF1-BF1A-A14A34F87662}" name="Title" dataDxfId="36"/>
    <tableColumn id="5" xr3:uid="{D6F53F25-C39B-452F-BDCC-10D73A1220BC}" name="governorate_value" dataDxfId="35">
      <calculatedColumnFormula>_xlfn.XLOOKUP(D2, Governorates!B:B, Governorates!E:E, "")</calculatedColumnFormula>
    </tableColumn>
    <tableColumn id="3" xr3:uid="{A670ACC7-6B1A-48D0-8A62-C8152EFEF99D}" name="Governorate" dataDxfId="34"/>
    <tableColumn id="4" xr3:uid="{ED49816B-0B43-405C-89CA-5F51B7BF33F1}" name="Governorate_ID" dataDxfId="3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561095-8EB7-4ADA-BB01-B4F82609A697}" name="Table9" displayName="Table9" ref="A1:C15" totalsRowShown="0" headerRowDxfId="32" dataDxfId="31">
  <autoFilter ref="A1:C15" xr:uid="{6E561095-8EB7-4ADA-BB01-B4F82609A697}"/>
  <tableColumns count="3">
    <tableColumn id="1" xr3:uid="{5264DFB9-4587-484C-863F-D85931951A83}" name="ID" dataDxfId="30"/>
    <tableColumn id="2" xr3:uid="{3DA5C63F-E6DF-4A1A-9A3E-710DA8D990B8}" name="name" dataDxfId="29"/>
    <tableColumn id="3" xr3:uid="{98FEF8D6-A64B-477F-A2A9-37FCE9D7C7C1}" name="label" dataDxfId="28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09B6F7-1E83-4948-96D0-9967EC626F03}" name="Table10" displayName="Table10" ref="A1:D8" totalsRowShown="0" headerRowDxfId="27" dataDxfId="26">
  <autoFilter ref="A1:D8" xr:uid="{4F09B6F7-1E83-4948-96D0-9967EC626F03}"/>
  <tableColumns count="4">
    <tableColumn id="1" xr3:uid="{9F1FFF63-2500-4AC0-BC68-495A89101ECF}" name="ID" dataDxfId="25"/>
    <tableColumn id="2" xr3:uid="{6C776FE1-BA04-4CF2-8182-B85EA0BE4704}" name="name" dataDxfId="24"/>
    <tableColumn id="3" xr3:uid="{44F15DE9-2D07-4D1F-8074-39B10E784CFB}" name="label" dataDxfId="23"/>
    <tableColumn id="4" xr3:uid="{7B0A6CCA-0D17-4179-A7BA-7AA802FCD629}" name="Categories ID" dataDxfId="2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1F8E3-2761-48D6-9F72-AF5720128B81}" name="Table12" displayName="Table12" ref="A1:C8" totalsRowShown="0" headerRowDxfId="21" dataDxfId="20">
  <autoFilter ref="A1:C8" xr:uid="{7401F8E3-2761-48D6-9F72-AF5720128B81}"/>
  <tableColumns count="3">
    <tableColumn id="1" xr3:uid="{58A004AB-6265-4D76-B2AD-090E438811AD}" name="ID" dataDxfId="19"/>
    <tableColumn id="2" xr3:uid="{8BCEF365-7D9B-41FF-B5B4-A174ECDBBDB7}" name="name" dataDxfId="18"/>
    <tableColumn id="3" xr3:uid="{D4E3861F-C819-4DBA-A7C2-D1601F4E9709}" name="label" dataDxfId="17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6B7B494-653B-44DE-AE69-980EB853E1B7}" name="Table13" displayName="Table13" ref="A1:C7" totalsRowShown="0" headerRowDxfId="16" dataDxfId="15">
  <autoFilter ref="A1:C7" xr:uid="{A6B7B494-653B-44DE-AE69-980EB853E1B7}"/>
  <tableColumns count="3">
    <tableColumn id="1" xr3:uid="{A6C48FBB-7B88-471A-9BCE-74DBF3CC03A6}" name="ID" dataDxfId="14"/>
    <tableColumn id="2" xr3:uid="{2A98F6C7-9B2E-4EF8-AE5D-F6982571038D}" name="name" dataDxfId="13"/>
    <tableColumn id="3" xr3:uid="{60F59D14-8772-487E-A2BA-141DEA5EC88A}" name="label" dataDxfId="1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B9B443B-EED4-4E66-A999-91E64A2B5B18}" name="Table14" displayName="Table14" ref="A1:B13" totalsRowShown="0" headerRowDxfId="11" dataDxfId="10">
  <autoFilter ref="A1:B13" xr:uid="{3B9B443B-EED4-4E66-A999-91E64A2B5B18}"/>
  <tableColumns count="2">
    <tableColumn id="1" xr3:uid="{610526E1-72BB-4262-9FB6-C990ADC8C9D3}" name="ID" dataDxfId="9"/>
    <tableColumn id="2" xr3:uid="{50A62859-C701-4D7E-B095-F7C347CA41AF}" name="Sector" dataDxfId="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F49ED-EBB7-4E5F-811E-8B0F95BC37C7}" name="focal_point" displayName="focal_point" ref="A1:F22" totalsRowShown="0" headerRowDxfId="7" dataDxfId="6">
  <autoFilter ref="A1:F22" xr:uid="{B05F49ED-EBB7-4E5F-811E-8B0F95BC37C7}"/>
  <tableColumns count="6">
    <tableColumn id="1" xr3:uid="{1B8F1BAD-3D70-4104-ACCA-FBE1B8E50905}" name="ID" dataDxfId="5"/>
    <tableColumn id="2" xr3:uid="{A3F89774-C9DB-48BD-B60D-8F75CF656A23}" name="Location" dataDxfId="4"/>
    <tableColumn id="3" xr3:uid="{27BFD1DD-1334-4653-8713-5AE1FE8B30B8}" name="Sector: ID" dataDxfId="3"/>
    <tableColumn id="4" xr3:uid="{721383CB-30B1-40BB-9827-CE2073F414E1}" name="Sector" dataDxfId="2"/>
    <tableColumn id="5" xr3:uid="{9C1019B3-5750-4C8C-A8F7-9CBD42538A20}" name="Focal Point" dataDxfId="1"/>
    <tableColumn id="6" xr3:uid="{C82870DA-7DD7-42C2-8693-F0281885C659}" name="focal_point_emai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FBDD-521B-45CE-B48D-16E48AC77500}">
  <sheetPr codeName="Sheet1"/>
  <dimension ref="A1:BA2"/>
  <sheetViews>
    <sheetView tabSelected="1" topLeftCell="AN1" zoomScale="115" zoomScaleNormal="115" workbookViewId="0">
      <pane ySplit="1" topLeftCell="A2" activePane="bottomLeft" state="frozen"/>
      <selection activeCell="AT1" sqref="AT1"/>
      <selection pane="bottomLeft" activeCell="AN1" sqref="A1:XFD1"/>
    </sheetView>
  </sheetViews>
  <sheetFormatPr defaultRowHeight="15" x14ac:dyDescent="0.25"/>
  <cols>
    <col min="1" max="1" width="6" style="1" bestFit="1" customWidth="1"/>
    <col min="2" max="2" width="14.28515625" style="1" customWidth="1"/>
    <col min="3" max="3" width="17.140625" style="1" bestFit="1" customWidth="1"/>
    <col min="4" max="4" width="17.42578125" style="1" bestFit="1" customWidth="1"/>
    <col min="5" max="5" width="17.140625" style="1" bestFit="1" customWidth="1"/>
    <col min="6" max="6" width="11.5703125" style="1" bestFit="1" customWidth="1"/>
    <col min="7" max="7" width="22" style="1" bestFit="1" customWidth="1"/>
    <col min="8" max="8" width="9.5703125" style="2" bestFit="1" customWidth="1"/>
    <col min="9" max="9" width="13" style="1" customWidth="1"/>
    <col min="10" max="10" width="22.28515625" style="1" bestFit="1" customWidth="1"/>
    <col min="11" max="11" width="27.42578125" style="1" bestFit="1" customWidth="1"/>
    <col min="12" max="12" width="18.140625" style="1" customWidth="1"/>
    <col min="13" max="13" width="19.140625" style="1" bestFit="1" customWidth="1"/>
    <col min="14" max="14" width="19.28515625" style="1" bestFit="1" customWidth="1"/>
    <col min="15" max="15" width="25" style="1" bestFit="1" customWidth="1"/>
    <col min="16" max="16" width="27.5703125" style="1" customWidth="1"/>
    <col min="17" max="17" width="23" style="1" customWidth="1"/>
    <col min="18" max="18" width="20.140625" style="1" customWidth="1"/>
    <col min="19" max="22" width="20.7109375" style="1" customWidth="1"/>
    <col min="23" max="23" width="25.140625" style="1" customWidth="1"/>
    <col min="24" max="24" width="8.7109375" style="1" customWidth="1"/>
    <col min="25" max="25" width="12.85546875" style="1" customWidth="1"/>
    <col min="26" max="26" width="13" style="1" customWidth="1"/>
    <col min="27" max="27" width="16.42578125" style="1" customWidth="1"/>
    <col min="28" max="28" width="19.140625" style="1" bestFit="1" customWidth="1"/>
    <col min="29" max="29" width="24.85546875" style="1" bestFit="1" customWidth="1"/>
    <col min="30" max="30" width="13.140625" style="1" bestFit="1" customWidth="1"/>
    <col min="31" max="31" width="22.5703125" style="1" customWidth="1"/>
    <col min="32" max="32" width="26.42578125" style="1" bestFit="1" customWidth="1"/>
    <col min="33" max="33" width="28.28515625" style="1" customWidth="1"/>
    <col min="34" max="34" width="23.42578125" style="1" bestFit="1" customWidth="1"/>
    <col min="35" max="35" width="19.5703125" style="1" customWidth="1"/>
    <col min="36" max="36" width="31.42578125" style="1" bestFit="1" customWidth="1"/>
    <col min="37" max="37" width="16.42578125" style="1" bestFit="1" customWidth="1"/>
    <col min="38" max="38" width="10.5703125" style="1" bestFit="1" customWidth="1"/>
    <col min="39" max="39" width="23" style="1" customWidth="1"/>
    <col min="40" max="40" width="14.85546875" style="1" bestFit="1" customWidth="1"/>
    <col min="41" max="41" width="20.28515625" style="1" customWidth="1"/>
    <col min="42" max="42" width="16.140625" style="1" customWidth="1"/>
    <col min="43" max="43" width="11.7109375" style="1" customWidth="1"/>
    <col min="44" max="44" width="10.5703125" style="1" bestFit="1" customWidth="1"/>
    <col min="45" max="45" width="38.140625" style="1" bestFit="1" customWidth="1"/>
    <col min="46" max="46" width="19.140625" style="2" customWidth="1"/>
    <col min="47" max="47" width="28" style="1" bestFit="1" customWidth="1"/>
    <col min="48" max="48" width="26.85546875" style="2" customWidth="1"/>
    <col min="49" max="49" width="26.5703125" style="2" customWidth="1"/>
    <col min="50" max="50" width="23.28515625" style="1" customWidth="1"/>
    <col min="51" max="51" width="15" style="1" bestFit="1" customWidth="1"/>
    <col min="52" max="52" width="14.85546875" style="1" bestFit="1" customWidth="1"/>
    <col min="54" max="16384" width="9.140625" style="1"/>
  </cols>
  <sheetData>
    <row r="1" spans="1:52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1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4" t="s">
        <v>36</v>
      </c>
      <c r="AL1" s="4" t="s">
        <v>37</v>
      </c>
      <c r="AM1" s="4" t="s">
        <v>38</v>
      </c>
      <c r="AN1" s="4" t="s">
        <v>39</v>
      </c>
      <c r="AO1" s="4" t="s">
        <v>40</v>
      </c>
      <c r="AP1" s="4" t="s">
        <v>41</v>
      </c>
      <c r="AQ1" s="4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  <c r="AY1" s="4" t="s">
        <v>50</v>
      </c>
      <c r="AZ1" s="4" t="s">
        <v>51</v>
      </c>
    </row>
    <row r="2" spans="1:52" s="7" customFormat="1" x14ac:dyDescent="0.25">
      <c r="A2" s="1"/>
      <c r="B2" s="1"/>
      <c r="C2" s="5"/>
      <c r="D2" s="1"/>
      <c r="E2" s="5"/>
      <c r="F2" s="6"/>
      <c r="G2" s="1"/>
      <c r="H2" s="2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2"/>
      <c r="AU2" s="1"/>
      <c r="AV2" s="2"/>
      <c r="AW2" s="1" t="str">
        <f>IF(AV2="", "", _xlfn.XLOOKUP(AV2, focal_point[Focal Point], focal_point[focal_point_email], ""))</f>
        <v/>
      </c>
      <c r="AX2" s="1"/>
      <c r="AY2" s="5"/>
      <c r="AZ2" s="1"/>
    </row>
  </sheetData>
  <sheetProtection selectLockedCells="1" selectUnlockedCells="1"/>
  <dataValidations count="7">
    <dataValidation type="list" allowBlank="1" showInputMessage="1" showErrorMessage="1" sqref="G2:G1048576" xr:uid="{F2BCCF5E-B4D5-4EA6-BF5C-037C7749725B}">
      <formula1>"Drafted, Submitted, Submitted from Kobo"</formula1>
    </dataValidation>
    <dataValidation type="list" allowBlank="1" showInputMessage="1" showErrorMessage="1" sqref="H2:H1048576" xr:uid="{139FB340-AF04-42E1-9F86-2A5974A24432}">
      <formula1>"Opened,Closed"</formula1>
    </dataValidation>
    <dataValidation type="list" allowBlank="1" showInputMessage="1" showErrorMessage="1" sqref="X2:X1048576" xr:uid="{DFE346EA-510D-4592-BCD7-83FBAAB009C3}">
      <formula1>"male, female"</formula1>
    </dataValidation>
    <dataValidation type="list" allowBlank="1" showInputMessage="1" showErrorMessage="1" sqref="Y2:Y1048576" xr:uid="{55C3B1E7-7A3F-4551-8AA8-6D541D5B7445}">
      <formula1>"above_18, under_18"</formula1>
    </dataValidation>
    <dataValidation type="list" allowBlank="1" showInputMessage="1" showErrorMessage="1" sqref="AD2:AD1048576 AL2:AL1048576" xr:uid="{73143CB2-C12D-4587-9181-E4B4A62B7D65}">
      <formula1>"yes, no"</formula1>
    </dataValidation>
    <dataValidation type="list" allowBlank="1" showInputMessage="1" showErrorMessage="1" sqref="AS2:AS1048576 AU2:AU1048576" xr:uid="{656C816F-FA2B-422D-B6E6-933955A4B757}">
      <formula1>"Yes, No"</formula1>
    </dataValidation>
    <dataValidation type="list" allowBlank="1" showInputMessage="1" showErrorMessage="1" sqref="AV2:AV1048576" xr:uid="{5308A7D3-133B-41D9-B50A-3913442DAEFF}">
      <formula1>INDIRECT(SUBSTITUTE(SUBSTITUTE(AT2,"/","_")," ","_"))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DropDown="1" showInputMessage="1" showErrorMessage="1" xr:uid="{B8A90CAD-DA3C-4925-A49C-9EC9EC193526}">
          <x14:formula1>
            <xm:f>focal_point!$F$2:$F$22</xm:f>
          </x14:formula1>
          <xm:sqref>AW3:AW1048576</xm:sqref>
        </x14:dataValidation>
        <x14:dataValidation type="list" allowBlank="1" showInputMessage="1" showErrorMessage="1" xr:uid="{DA115475-6913-4F08-ADB4-546738EDA4DA}">
          <x14:formula1>
            <xm:f>'Categories'!$C$2:$C$9</xm:f>
          </x14:formula1>
          <xm:sqref>I2:I1048576</xm:sqref>
        </x14:dataValidation>
        <x14:dataValidation type="list" allowBlank="1" showInputMessage="1" showErrorMessage="1" xr:uid="{9BC2D883-F1EB-4E0A-82AA-90EB523FA0DF}">
          <x14:formula1>
            <xm:f>Feedback!$C$2:$C$3</xm:f>
          </x14:formula1>
          <xm:sqref>P2:P1048576</xm:sqref>
        </x14:dataValidation>
        <x14:dataValidation type="list" allowBlank="1" showInputMessage="1" showErrorMessage="1" xr:uid="{B0B06689-DADD-45BE-85DC-D69BF185615B}">
          <x14:formula1>
            <xm:f>Breaches!$C$2:$C$5</xm:f>
          </x14:formula1>
          <xm:sqref>Q2:Q1048576</xm:sqref>
        </x14:dataValidation>
        <x14:dataValidation type="list" allowBlank="1" showInputMessage="1" showErrorMessage="1" xr:uid="{5759DCDE-C7BE-4BAA-BCF1-638033558525}">
          <x14:formula1>
            <xm:f>Negative!$C$2:$C$3</xm:f>
          </x14:formula1>
          <xm:sqref>R2:R1048576</xm:sqref>
        </x14:dataValidation>
        <x14:dataValidation type="list" allowBlank="1" showInputMessage="1" showErrorMessage="1" xr:uid="{1DF8E1F0-3B06-4239-8AD0-4B3A887B1B42}">
          <x14:formula1>
            <xm:f>Location!$C$2:$C$3</xm:f>
          </x14:formula1>
          <xm:sqref>Z2:Z1048576</xm:sqref>
        </x14:dataValidation>
        <x14:dataValidation type="list" allowBlank="1" showInputMessage="1" showErrorMessage="1" xr:uid="{EA7893FB-5E39-419F-ADEF-2A97598DB8D0}">
          <x14:formula1>
            <xm:f>ongoing_activities!$B$2:$B$15</xm:f>
          </x14:formula1>
          <xm:sqref>AE2:AE1048576</xm:sqref>
        </x14:dataValidation>
        <x14:dataValidation type="list" allowBlank="1" showInputMessage="1" showErrorMessage="1" xr:uid="{56B4BE42-D7F0-43F5-986D-BDF500F11BFF}">
          <x14:formula1>
            <xm:f>sub_categories!$B$2:$B$8</xm:f>
          </x14:formula1>
          <xm:sqref>AG2:AG1048576</xm:sqref>
        </x14:dataValidation>
        <x14:dataValidation type="list" allowBlank="1" showInputMessage="1" showErrorMessage="1" xr:uid="{08C3B0B6-696D-4E8F-8140-7C2282A90DCD}">
          <x14:formula1>
            <xm:f>means!$B$2:$B$8</xm:f>
          </x14:formula1>
          <xm:sqref>AM2:AM1048576</xm:sqref>
        </x14:dataValidation>
        <x14:dataValidation type="list" allowBlank="1" showInputMessage="1" showErrorMessage="1" xr:uid="{9A5D2E93-542C-4064-BD8C-F2797706BC2F}">
          <x14:formula1>
            <xm:f>channel!$B$2:$B$7</xm:f>
          </x14:formula1>
          <xm:sqref>AP2:AP1048576</xm:sqref>
        </x14:dataValidation>
        <x14:dataValidation type="list" allowBlank="1" showInputMessage="1" showErrorMessage="1" xr:uid="{A057E1FB-7478-4772-9083-D66BE8D6AEEC}">
          <x14:formula1>
            <xm:f>Sectors!$B$2:$B$13</xm:f>
          </x14:formula1>
          <xm:sqref>AT2:AT1048576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5739-02C9-4158-88F7-F996A0467466}">
  <sheetPr codeName="Sheet12"/>
  <dimension ref="A1:L4"/>
  <sheetViews>
    <sheetView workbookViewId="0">
      <selection sqref="A1:L4"/>
    </sheetView>
  </sheetViews>
  <sheetFormatPr defaultRowHeight="15" x14ac:dyDescent="0.25"/>
  <cols>
    <col min="1" max="1" width="17.28515625" bestFit="1" customWidth="1"/>
    <col min="2" max="2" width="16.28515625" bestFit="1" customWidth="1"/>
    <col min="3" max="3" width="12.5703125" bestFit="1" customWidth="1"/>
    <col min="4" max="4" width="20.28515625" bestFit="1" customWidth="1"/>
    <col min="5" max="5" width="13.85546875" bestFit="1" customWidth="1"/>
    <col min="6" max="6" width="15.85546875" bestFit="1" customWidth="1"/>
    <col min="7" max="7" width="12.5703125" bestFit="1" customWidth="1"/>
    <col min="8" max="9" width="14.5703125" bestFit="1" customWidth="1"/>
    <col min="10" max="10" width="19.85546875" bestFit="1" customWidth="1"/>
    <col min="11" max="11" width="17" customWidth="1"/>
    <col min="12" max="12" width="12.28515625" bestFit="1" customWidth="1"/>
    <col min="13" max="13" width="6" bestFit="1" customWidth="1"/>
  </cols>
  <sheetData>
    <row r="1" spans="1:12" x14ac:dyDescent="0.25">
      <c r="A1" s="10" t="s">
        <v>224</v>
      </c>
      <c r="B1" s="10" t="s">
        <v>225</v>
      </c>
      <c r="C1" s="10" t="s">
        <v>226</v>
      </c>
      <c r="D1" s="10" t="s">
        <v>227</v>
      </c>
      <c r="E1" s="10" t="s">
        <v>228</v>
      </c>
      <c r="F1" s="10" t="s">
        <v>229</v>
      </c>
      <c r="G1" s="10" t="s">
        <v>230</v>
      </c>
      <c r="H1" s="10" t="s">
        <v>231</v>
      </c>
      <c r="I1" s="10" t="s">
        <v>232</v>
      </c>
      <c r="J1" s="10" t="s">
        <v>233</v>
      </c>
      <c r="K1" s="10" t="s">
        <v>234</v>
      </c>
      <c r="L1" s="11" t="s">
        <v>112</v>
      </c>
    </row>
    <row r="2" spans="1:12" x14ac:dyDescent="0.25">
      <c r="A2" s="8" t="s">
        <v>55</v>
      </c>
      <c r="B2" s="8" t="s">
        <v>52</v>
      </c>
      <c r="C2" s="8" t="s">
        <v>60</v>
      </c>
      <c r="D2" s="8" t="s">
        <v>59</v>
      </c>
      <c r="E2" s="8" t="s">
        <v>56</v>
      </c>
      <c r="F2" s="8" t="s">
        <v>54</v>
      </c>
      <c r="G2" s="8" t="s">
        <v>60</v>
      </c>
      <c r="H2" s="8" t="s">
        <v>53</v>
      </c>
      <c r="I2" s="8" t="s">
        <v>53</v>
      </c>
      <c r="J2" s="8" t="s">
        <v>58</v>
      </c>
      <c r="K2" t="s">
        <v>254</v>
      </c>
      <c r="L2" s="8" t="s">
        <v>57</v>
      </c>
    </row>
    <row r="3" spans="1:12" x14ac:dyDescent="0.25">
      <c r="A3" s="8" t="s">
        <v>63</v>
      </c>
      <c r="B3" s="8" t="s">
        <v>61</v>
      </c>
      <c r="E3" s="8" t="s">
        <v>64</v>
      </c>
      <c r="F3" s="8" t="s">
        <v>62</v>
      </c>
      <c r="H3" s="8" t="s">
        <v>53</v>
      </c>
      <c r="I3" s="8" t="s">
        <v>53</v>
      </c>
      <c r="J3" s="8" t="s">
        <v>58</v>
      </c>
    </row>
    <row r="4" spans="1:12" x14ac:dyDescent="0.25">
      <c r="A4" s="8" t="s">
        <v>66</v>
      </c>
      <c r="B4" s="9" t="s">
        <v>65</v>
      </c>
      <c r="E4" s="8" t="s">
        <v>67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D2245-32CC-465D-B1B5-655CE6CA90D0}">
  <sheetPr codeName="Sheet2"/>
  <dimension ref="A1:D9"/>
  <sheetViews>
    <sheetView workbookViewId="0">
      <selection sqref="A1:D9"/>
    </sheetView>
  </sheetViews>
  <sheetFormatPr defaultRowHeight="15" x14ac:dyDescent="0.25"/>
  <cols>
    <col min="2" max="2" width="11.140625" customWidth="1"/>
    <col min="3" max="3" width="14.140625" customWidth="1"/>
    <col min="4" max="4" width="56" customWidth="1"/>
  </cols>
  <sheetData>
    <row r="1" spans="1:4" x14ac:dyDescent="0.25">
      <c r="A1" s="1" t="s">
        <v>0</v>
      </c>
      <c r="B1" s="1" t="s">
        <v>68</v>
      </c>
      <c r="C1" s="1" t="s">
        <v>18</v>
      </c>
      <c r="D1" s="1" t="s">
        <v>69</v>
      </c>
    </row>
    <row r="2" spans="1:4" x14ac:dyDescent="0.25">
      <c r="A2" s="1">
        <v>1</v>
      </c>
      <c r="B2" s="1">
        <v>1</v>
      </c>
      <c r="C2" s="1" t="s">
        <v>70</v>
      </c>
      <c r="D2" s="1" t="s">
        <v>71</v>
      </c>
    </row>
    <row r="3" spans="1:4" ht="30" x14ac:dyDescent="0.25">
      <c r="A3" s="1">
        <v>2</v>
      </c>
      <c r="B3" s="1">
        <v>2</v>
      </c>
      <c r="C3" s="1" t="s">
        <v>72</v>
      </c>
      <c r="D3" s="1" t="s">
        <v>73</v>
      </c>
    </row>
    <row r="4" spans="1:4" x14ac:dyDescent="0.25">
      <c r="A4" s="1">
        <v>9</v>
      </c>
      <c r="B4" s="1">
        <v>3</v>
      </c>
      <c r="C4" s="1" t="s">
        <v>29</v>
      </c>
      <c r="D4" s="1" t="s">
        <v>74</v>
      </c>
    </row>
    <row r="5" spans="1:4" ht="45" x14ac:dyDescent="0.25">
      <c r="A5" s="1">
        <v>4</v>
      </c>
      <c r="B5" s="1">
        <v>4</v>
      </c>
      <c r="C5" s="1" t="s">
        <v>75</v>
      </c>
      <c r="D5" s="1" t="s">
        <v>76</v>
      </c>
    </row>
    <row r="6" spans="1:4" ht="45" x14ac:dyDescent="0.25">
      <c r="A6" s="1">
        <v>5</v>
      </c>
      <c r="B6" s="1">
        <v>5</v>
      </c>
      <c r="C6" s="1" t="s">
        <v>77</v>
      </c>
      <c r="D6" s="1" t="s">
        <v>78</v>
      </c>
    </row>
    <row r="7" spans="1:4" ht="60" x14ac:dyDescent="0.25">
      <c r="A7" s="1">
        <v>6</v>
      </c>
      <c r="B7" s="1">
        <v>6</v>
      </c>
      <c r="C7" s="1" t="s">
        <v>79</v>
      </c>
      <c r="D7" s="1" t="s">
        <v>80</v>
      </c>
    </row>
    <row r="8" spans="1:4" ht="75" x14ac:dyDescent="0.25">
      <c r="A8" s="1">
        <v>7</v>
      </c>
      <c r="B8" s="1">
        <v>7</v>
      </c>
      <c r="C8" s="1" t="s">
        <v>81</v>
      </c>
      <c r="D8" s="1" t="s">
        <v>82</v>
      </c>
    </row>
    <row r="9" spans="1:4" x14ac:dyDescent="0.25">
      <c r="A9" s="1">
        <v>8</v>
      </c>
      <c r="B9" s="1">
        <v>8</v>
      </c>
      <c r="C9" s="1" t="s">
        <v>83</v>
      </c>
      <c r="D9" s="1" t="s">
        <v>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F83F5-CAE7-44A6-B66C-7E2AFF7D819E}">
  <sheetPr codeName="Sheet3"/>
  <dimension ref="A1:D9"/>
  <sheetViews>
    <sheetView workbookViewId="0">
      <selection sqref="A1:D9"/>
    </sheetView>
  </sheetViews>
  <sheetFormatPr defaultRowHeight="15" x14ac:dyDescent="0.25"/>
  <cols>
    <col min="2" max="2" width="14.85546875" customWidth="1"/>
    <col min="3" max="3" width="23.5703125" customWidth="1"/>
    <col min="4" max="4" width="22.7109375" customWidth="1"/>
  </cols>
  <sheetData>
    <row r="1" spans="1:4" x14ac:dyDescent="0.25">
      <c r="A1" s="1" t="s">
        <v>0</v>
      </c>
      <c r="B1" s="1" t="s">
        <v>85</v>
      </c>
      <c r="C1" s="1" t="s">
        <v>18</v>
      </c>
      <c r="D1" s="1" t="s">
        <v>69</v>
      </c>
    </row>
    <row r="2" spans="1:4" ht="30" x14ac:dyDescent="0.25">
      <c r="A2" s="1">
        <v>1</v>
      </c>
      <c r="B2" s="1"/>
      <c r="C2" s="1" t="s">
        <v>86</v>
      </c>
      <c r="D2" s="1" t="s">
        <v>87</v>
      </c>
    </row>
    <row r="3" spans="1:4" ht="60.75" customHeight="1" x14ac:dyDescent="0.25">
      <c r="A3" s="1">
        <v>2</v>
      </c>
      <c r="B3" s="1"/>
      <c r="C3" s="1" t="s">
        <v>88</v>
      </c>
      <c r="D3" s="1" t="s">
        <v>89</v>
      </c>
    </row>
    <row r="4" spans="1:4" x14ac:dyDescent="0.25">
      <c r="A4" s="1">
        <v>3</v>
      </c>
      <c r="B4" s="1"/>
      <c r="C4" s="1" t="s">
        <v>90</v>
      </c>
      <c r="D4" s="1" t="s">
        <v>91</v>
      </c>
    </row>
    <row r="5" spans="1:4" ht="30" x14ac:dyDescent="0.25">
      <c r="A5" s="1">
        <v>4</v>
      </c>
      <c r="B5" s="1"/>
      <c r="C5" s="1" t="s">
        <v>92</v>
      </c>
      <c r="D5" s="1" t="s">
        <v>93</v>
      </c>
    </row>
    <row r="6" spans="1:4" x14ac:dyDescent="0.25">
      <c r="A6" s="1">
        <v>5</v>
      </c>
      <c r="B6" s="1"/>
      <c r="C6" s="1" t="s">
        <v>94</v>
      </c>
      <c r="D6" s="1" t="s">
        <v>95</v>
      </c>
    </row>
    <row r="7" spans="1:4" ht="30" x14ac:dyDescent="0.25">
      <c r="A7" s="1">
        <v>6</v>
      </c>
      <c r="B7" s="1"/>
      <c r="C7" s="1" t="s">
        <v>96</v>
      </c>
      <c r="D7" s="1" t="s">
        <v>97</v>
      </c>
    </row>
    <row r="8" spans="1:4" x14ac:dyDescent="0.25">
      <c r="A8" s="1">
        <v>7</v>
      </c>
      <c r="B8" s="1"/>
      <c r="C8" s="1" t="s">
        <v>98</v>
      </c>
      <c r="D8" s="1" t="s">
        <v>99</v>
      </c>
    </row>
    <row r="9" spans="1:4" x14ac:dyDescent="0.25">
      <c r="A9" s="1">
        <v>8</v>
      </c>
      <c r="B9" s="1"/>
      <c r="C9" s="1" t="s">
        <v>100</v>
      </c>
      <c r="D9" s="1" t="s">
        <v>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797DD-8392-4BD9-A4DF-A51A0DC9EEF4}">
  <sheetPr codeName="Sheet11"/>
  <dimension ref="A1:D3"/>
  <sheetViews>
    <sheetView zoomScale="85" zoomScaleNormal="85" workbookViewId="0">
      <selection sqref="A1:D3"/>
    </sheetView>
  </sheetViews>
  <sheetFormatPr defaultRowHeight="15" x14ac:dyDescent="0.25"/>
  <cols>
    <col min="1" max="1" width="11.28515625" customWidth="1"/>
    <col min="2" max="2" width="19.5703125" customWidth="1"/>
    <col min="3" max="3" width="22" bestFit="1" customWidth="1"/>
    <col min="4" max="4" width="73.5703125" bestFit="1" customWidth="1"/>
  </cols>
  <sheetData>
    <row r="1" spans="1:4" x14ac:dyDescent="0.25">
      <c r="A1" s="3" t="s">
        <v>0</v>
      </c>
      <c r="B1" s="3" t="s">
        <v>85</v>
      </c>
      <c r="C1" s="3" t="s">
        <v>18</v>
      </c>
      <c r="D1" s="3" t="s">
        <v>69</v>
      </c>
    </row>
    <row r="2" spans="1:4" ht="19.5" customHeight="1" x14ac:dyDescent="0.25">
      <c r="A2" s="3">
        <v>1</v>
      </c>
      <c r="B2" s="3">
        <v>4</v>
      </c>
      <c r="C2" s="1" t="s">
        <v>101</v>
      </c>
      <c r="D2" s="3" t="s">
        <v>102</v>
      </c>
    </row>
    <row r="3" spans="1:4" x14ac:dyDescent="0.25">
      <c r="A3" s="3">
        <v>2</v>
      </c>
      <c r="B3" s="3">
        <v>4</v>
      </c>
      <c r="C3" s="3" t="s">
        <v>103</v>
      </c>
      <c r="D3" s="3" t="s">
        <v>104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60A7-88CA-4E02-981F-8DC98FA1691C}">
  <sheetPr codeName="Sheet4"/>
  <dimension ref="A1:D5"/>
  <sheetViews>
    <sheetView workbookViewId="0">
      <selection sqref="A1:D5"/>
    </sheetView>
  </sheetViews>
  <sheetFormatPr defaultRowHeight="15" x14ac:dyDescent="0.25"/>
  <cols>
    <col min="1" max="1" width="15.5703125" customWidth="1"/>
    <col min="2" max="2" width="18" customWidth="1"/>
    <col min="3" max="3" width="35.7109375" customWidth="1"/>
    <col min="4" max="4" width="42.5703125" customWidth="1"/>
  </cols>
  <sheetData>
    <row r="1" spans="1:4" x14ac:dyDescent="0.25">
      <c r="A1" s="1" t="s">
        <v>0</v>
      </c>
      <c r="B1" s="1" t="s">
        <v>85</v>
      </c>
      <c r="C1" s="1" t="s">
        <v>18</v>
      </c>
      <c r="D1" s="1" t="s">
        <v>69</v>
      </c>
    </row>
    <row r="2" spans="1:4" ht="30" x14ac:dyDescent="0.25">
      <c r="A2" s="1">
        <v>1</v>
      </c>
      <c r="B2" s="1">
        <v>6</v>
      </c>
      <c r="C2" s="1" t="s">
        <v>105</v>
      </c>
      <c r="D2" s="1" t="s">
        <v>106</v>
      </c>
    </row>
    <row r="3" spans="1:4" ht="30" x14ac:dyDescent="0.25">
      <c r="A3" s="1">
        <v>2</v>
      </c>
      <c r="B3" s="1">
        <v>6</v>
      </c>
      <c r="C3" s="1" t="s">
        <v>107</v>
      </c>
      <c r="D3" s="1" t="s">
        <v>108</v>
      </c>
    </row>
    <row r="4" spans="1:4" x14ac:dyDescent="0.25">
      <c r="A4" s="1">
        <v>3</v>
      </c>
      <c r="B4" s="1">
        <v>6</v>
      </c>
      <c r="C4" s="1" t="s">
        <v>109</v>
      </c>
      <c r="D4" s="1" t="s">
        <v>110</v>
      </c>
    </row>
    <row r="5" spans="1:4" x14ac:dyDescent="0.25">
      <c r="A5" s="1">
        <v>4</v>
      </c>
      <c r="B5" s="1">
        <v>6</v>
      </c>
      <c r="C5" s="1" t="s">
        <v>111</v>
      </c>
      <c r="D5" s="1" t="s">
        <v>112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71AE-3ABA-4CBC-A8B0-DD9311203376}">
  <sheetPr codeName="Sheet5"/>
  <dimension ref="A1:D3"/>
  <sheetViews>
    <sheetView workbookViewId="0">
      <selection sqref="A1:D3"/>
    </sheetView>
  </sheetViews>
  <sheetFormatPr defaultRowHeight="15" x14ac:dyDescent="0.25"/>
  <cols>
    <col min="1" max="1" width="5" customWidth="1"/>
    <col min="2" max="2" width="14.85546875" customWidth="1"/>
    <col min="3" max="3" width="18.140625" bestFit="1" customWidth="1"/>
    <col min="4" max="4" width="66" bestFit="1" customWidth="1"/>
  </cols>
  <sheetData>
    <row r="1" spans="1:4" x14ac:dyDescent="0.25">
      <c r="A1" s="1" t="s">
        <v>0</v>
      </c>
      <c r="B1" s="1" t="s">
        <v>85</v>
      </c>
      <c r="C1" s="1" t="s">
        <v>18</v>
      </c>
      <c r="D1" s="1" t="s">
        <v>69</v>
      </c>
    </row>
    <row r="2" spans="1:4" x14ac:dyDescent="0.25">
      <c r="A2" s="1">
        <v>1</v>
      </c>
      <c r="B2" s="1">
        <v>7</v>
      </c>
      <c r="C2" s="1" t="s">
        <v>113</v>
      </c>
      <c r="D2" s="1" t="s">
        <v>114</v>
      </c>
    </row>
    <row r="3" spans="1:4" x14ac:dyDescent="0.25">
      <c r="A3" s="1">
        <v>2</v>
      </c>
      <c r="B3" s="1">
        <v>7</v>
      </c>
      <c r="C3" s="1" t="s">
        <v>115</v>
      </c>
      <c r="D3" s="1" t="s">
        <v>116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2B53-F8F2-41EC-B07F-D3360D4787DD}">
  <sheetPr codeName="Sheet6"/>
  <dimension ref="A1:C3"/>
  <sheetViews>
    <sheetView workbookViewId="0">
      <selection sqref="A1:C3"/>
    </sheetView>
  </sheetViews>
  <sheetFormatPr defaultRowHeight="15" x14ac:dyDescent="0.25"/>
  <cols>
    <col min="1" max="1" width="10.28515625" bestFit="1" customWidth="1"/>
    <col min="2" max="2" width="5" customWidth="1"/>
    <col min="3" max="3" width="10.5703125" bestFit="1" customWidth="1"/>
  </cols>
  <sheetData>
    <row r="1" spans="1:3" x14ac:dyDescent="0.25">
      <c r="A1" s="3" t="s">
        <v>1</v>
      </c>
      <c r="B1" s="3" t="s">
        <v>0</v>
      </c>
      <c r="C1" s="3" t="s">
        <v>18</v>
      </c>
    </row>
    <row r="2" spans="1:3" x14ac:dyDescent="0.25">
      <c r="A2" s="3" t="s">
        <v>117</v>
      </c>
      <c r="B2" s="3">
        <v>1</v>
      </c>
      <c r="C2" s="3" t="s">
        <v>118</v>
      </c>
    </row>
    <row r="3" spans="1:3" x14ac:dyDescent="0.25">
      <c r="A3" s="3" t="s">
        <v>119</v>
      </c>
      <c r="B3" s="3">
        <v>2</v>
      </c>
      <c r="C3" s="3" t="s">
        <v>120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2188-C7C9-4B47-8C29-2B593601CA1B}">
  <sheetPr codeName="Sheet7"/>
  <dimension ref="A1:E17"/>
  <sheetViews>
    <sheetView workbookViewId="0">
      <selection sqref="A1:E17"/>
    </sheetView>
  </sheetViews>
  <sheetFormatPr defaultRowHeight="15" x14ac:dyDescent="0.25"/>
  <cols>
    <col min="1" max="1" width="5.140625" bestFit="1" customWidth="1"/>
    <col min="2" max="2" width="18.140625" bestFit="1" customWidth="1"/>
    <col min="3" max="3" width="13" bestFit="1" customWidth="1"/>
    <col min="4" max="4" width="10.5703125" bestFit="1" customWidth="1"/>
    <col min="5" max="5" width="12.85546875" bestFit="1" customWidth="1"/>
  </cols>
  <sheetData>
    <row r="1" spans="1:5" x14ac:dyDescent="0.25">
      <c r="A1" s="3" t="s">
        <v>0</v>
      </c>
      <c r="B1" s="3" t="s">
        <v>1</v>
      </c>
      <c r="C1" s="3" t="s">
        <v>121</v>
      </c>
      <c r="D1" s="3" t="s">
        <v>122</v>
      </c>
      <c r="E1" s="3" t="s">
        <v>18</v>
      </c>
    </row>
    <row r="2" spans="1:5" x14ac:dyDescent="0.25">
      <c r="A2" s="3">
        <v>1</v>
      </c>
      <c r="B2" s="3" t="s">
        <v>123</v>
      </c>
      <c r="C2" s="3">
        <v>1</v>
      </c>
      <c r="D2" s="3" t="str">
        <f>_xlfn.XLOOKUP(C2, Location!B:B, Location!C:C, "")</f>
        <v>west_bank</v>
      </c>
      <c r="E2" s="3" t="s">
        <v>124</v>
      </c>
    </row>
    <row r="3" spans="1:5" x14ac:dyDescent="0.25">
      <c r="A3" s="3">
        <v>2</v>
      </c>
      <c r="B3" s="3" t="s">
        <v>125</v>
      </c>
      <c r="C3" s="3">
        <v>1</v>
      </c>
      <c r="D3" s="3" t="str">
        <f>_xlfn.XLOOKUP(C3, Location!B:B, Location!C:C, "")</f>
        <v>west_bank</v>
      </c>
      <c r="E3" s="3" t="s">
        <v>125</v>
      </c>
    </row>
    <row r="4" spans="1:5" x14ac:dyDescent="0.25">
      <c r="A4" s="3">
        <v>3</v>
      </c>
      <c r="B4" s="3" t="s">
        <v>126</v>
      </c>
      <c r="C4" s="3">
        <v>1</v>
      </c>
      <c r="D4" s="3" t="str">
        <f>_xlfn.XLOOKUP(C4, Location!B:B, Location!C:C, "")</f>
        <v>west_bank</v>
      </c>
      <c r="E4" s="3" t="s">
        <v>126</v>
      </c>
    </row>
    <row r="5" spans="1:5" x14ac:dyDescent="0.25">
      <c r="A5" s="3">
        <v>4</v>
      </c>
      <c r="B5" s="3" t="s">
        <v>127</v>
      </c>
      <c r="C5" s="3">
        <v>1</v>
      </c>
      <c r="D5" s="3" t="str">
        <f>_xlfn.XLOOKUP(C5, Location!B:B, Location!C:C, "")</f>
        <v>west_bank</v>
      </c>
      <c r="E5" s="3" t="s">
        <v>127</v>
      </c>
    </row>
    <row r="6" spans="1:5" x14ac:dyDescent="0.25">
      <c r="A6" s="3">
        <v>5</v>
      </c>
      <c r="B6" s="3" t="s">
        <v>128</v>
      </c>
      <c r="C6" s="3">
        <v>1</v>
      </c>
      <c r="D6" s="3" t="str">
        <f>_xlfn.XLOOKUP(C6, Location!B:B, Location!C:C, "")</f>
        <v>west_bank</v>
      </c>
      <c r="E6" s="3" t="s">
        <v>128</v>
      </c>
    </row>
    <row r="7" spans="1:5" x14ac:dyDescent="0.25">
      <c r="A7" s="3">
        <v>6</v>
      </c>
      <c r="B7" s="3" t="s">
        <v>129</v>
      </c>
      <c r="C7" s="3">
        <v>1</v>
      </c>
      <c r="D7" s="3" t="str">
        <f>_xlfn.XLOOKUP(C7, Location!B:B, Location!C:C, "")</f>
        <v>west_bank</v>
      </c>
      <c r="E7" s="3" t="s">
        <v>129</v>
      </c>
    </row>
    <row r="8" spans="1:5" x14ac:dyDescent="0.25">
      <c r="A8" s="3">
        <v>7</v>
      </c>
      <c r="B8" s="3" t="s">
        <v>130</v>
      </c>
      <c r="C8" s="3">
        <v>1</v>
      </c>
      <c r="D8" s="3" t="str">
        <f>_xlfn.XLOOKUP(C8, Location!B:B, Location!C:C, "")</f>
        <v>west_bank</v>
      </c>
      <c r="E8" s="3" t="s">
        <v>130</v>
      </c>
    </row>
    <row r="9" spans="1:5" x14ac:dyDescent="0.25">
      <c r="A9" s="3">
        <v>8</v>
      </c>
      <c r="B9" s="3" t="s">
        <v>131</v>
      </c>
      <c r="C9" s="3">
        <v>1</v>
      </c>
      <c r="D9" s="3" t="str">
        <f>_xlfn.XLOOKUP(C9, Location!B:B, Location!C:C, "")</f>
        <v>west_bank</v>
      </c>
      <c r="E9" s="3" t="s">
        <v>131</v>
      </c>
    </row>
    <row r="10" spans="1:5" x14ac:dyDescent="0.25">
      <c r="A10" s="3">
        <v>9</v>
      </c>
      <c r="B10" s="3" t="s">
        <v>132</v>
      </c>
      <c r="C10" s="3">
        <v>1</v>
      </c>
      <c r="D10" s="3" t="str">
        <f>_xlfn.XLOOKUP(C10, Location!B:B, Location!C:C, "")</f>
        <v>west_bank</v>
      </c>
      <c r="E10" s="3" t="s">
        <v>133</v>
      </c>
    </row>
    <row r="11" spans="1:5" x14ac:dyDescent="0.25">
      <c r="A11" s="3">
        <v>10</v>
      </c>
      <c r="B11" s="3" t="s">
        <v>134</v>
      </c>
      <c r="C11" s="3">
        <v>1</v>
      </c>
      <c r="D11" s="3" t="str">
        <f>_xlfn.XLOOKUP(C11, Location!B:B, Location!C:C, "")</f>
        <v>west_bank</v>
      </c>
      <c r="E11" s="3" t="s">
        <v>134</v>
      </c>
    </row>
    <row r="12" spans="1:5" x14ac:dyDescent="0.25">
      <c r="A12" s="3">
        <v>11</v>
      </c>
      <c r="B12" s="3" t="s">
        <v>135</v>
      </c>
      <c r="C12" s="3">
        <v>1</v>
      </c>
      <c r="D12" s="3" t="str">
        <f>_xlfn.XLOOKUP(C12, Location!B:B, Location!C:C, "")</f>
        <v>west_bank</v>
      </c>
      <c r="E12" s="3" t="s">
        <v>135</v>
      </c>
    </row>
    <row r="13" spans="1:5" x14ac:dyDescent="0.25">
      <c r="A13" s="3">
        <v>12</v>
      </c>
      <c r="B13" s="3" t="s">
        <v>136</v>
      </c>
      <c r="C13" s="3">
        <v>2</v>
      </c>
      <c r="D13" s="3" t="str">
        <f>_xlfn.XLOOKUP(C13, Location!B:B, Location!C:C, "")</f>
        <v>gaza</v>
      </c>
      <c r="E13" s="3" t="s">
        <v>137</v>
      </c>
    </row>
    <row r="14" spans="1:5" x14ac:dyDescent="0.25">
      <c r="A14" s="3">
        <v>13</v>
      </c>
      <c r="B14" s="3" t="s">
        <v>119</v>
      </c>
      <c r="C14" s="3">
        <v>2</v>
      </c>
      <c r="D14" s="3" t="str">
        <f>_xlfn.XLOOKUP(C14, Location!B:B, Location!C:C, "")</f>
        <v>gaza</v>
      </c>
      <c r="E14" s="3" t="s">
        <v>119</v>
      </c>
    </row>
    <row r="15" spans="1:5" x14ac:dyDescent="0.25">
      <c r="A15" s="3">
        <v>14</v>
      </c>
      <c r="B15" s="3" t="s">
        <v>138</v>
      </c>
      <c r="C15" s="3">
        <v>2</v>
      </c>
      <c r="D15" s="3" t="str">
        <f>_xlfn.XLOOKUP(C15, Location!B:B, Location!C:C, "")</f>
        <v>gaza</v>
      </c>
      <c r="E15" s="3" t="s">
        <v>139</v>
      </c>
    </row>
    <row r="16" spans="1:5" x14ac:dyDescent="0.25">
      <c r="A16" s="3">
        <v>15</v>
      </c>
      <c r="B16" s="3" t="s">
        <v>140</v>
      </c>
      <c r="C16" s="3">
        <v>2</v>
      </c>
      <c r="D16" s="3" t="str">
        <f>_xlfn.XLOOKUP(C16, Location!B:B, Location!C:C, "")</f>
        <v>gaza</v>
      </c>
      <c r="E16" s="3" t="s">
        <v>141</v>
      </c>
    </row>
    <row r="17" spans="1:5" x14ac:dyDescent="0.25">
      <c r="A17" s="3">
        <v>16</v>
      </c>
      <c r="B17" s="3" t="s">
        <v>142</v>
      </c>
      <c r="C17" s="3">
        <v>2</v>
      </c>
      <c r="D17" s="3" t="str">
        <f>_xlfn.XLOOKUP(C17, Location!B:B, Location!C:C, "")</f>
        <v>gaza</v>
      </c>
      <c r="E17" s="3" t="s">
        <v>142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FCA0-A829-477C-AE95-CBD8B9349E8F}">
  <sheetPr codeName="Sheet8"/>
  <dimension ref="A1:E26"/>
  <sheetViews>
    <sheetView topLeftCell="A3" workbookViewId="0">
      <selection sqref="A1:E26"/>
    </sheetView>
  </sheetViews>
  <sheetFormatPr defaultRowHeight="15" x14ac:dyDescent="0.25"/>
  <cols>
    <col min="1" max="1" width="5" customWidth="1"/>
    <col min="2" max="2" width="18" bestFit="1" customWidth="1"/>
    <col min="3" max="3" width="20.5703125" customWidth="1"/>
    <col min="4" max="4" width="14.28515625" customWidth="1"/>
    <col min="5" max="5" width="17.140625" customWidth="1"/>
  </cols>
  <sheetData>
    <row r="1" spans="1:5" x14ac:dyDescent="0.25">
      <c r="A1" s="1" t="s">
        <v>0</v>
      </c>
      <c r="B1" s="1" t="s">
        <v>1</v>
      </c>
      <c r="C1" s="1" t="s">
        <v>143</v>
      </c>
      <c r="D1" s="1" t="s">
        <v>144</v>
      </c>
      <c r="E1" s="1" t="s">
        <v>145</v>
      </c>
    </row>
    <row r="2" spans="1:5" x14ac:dyDescent="0.25">
      <c r="A2" s="1">
        <v>20</v>
      </c>
      <c r="B2" s="1" t="s">
        <v>146</v>
      </c>
      <c r="C2" s="1" t="str">
        <f>_xlfn.XLOOKUP(D2, Governorates!B:B, Governorates!E:E, "")</f>
        <v>Gaza</v>
      </c>
      <c r="D2" s="1" t="s">
        <v>119</v>
      </c>
      <c r="E2" s="1">
        <v>13</v>
      </c>
    </row>
    <row r="3" spans="1:5" x14ac:dyDescent="0.25">
      <c r="A3" s="1">
        <v>21</v>
      </c>
      <c r="B3" s="1" t="s">
        <v>147</v>
      </c>
      <c r="C3" s="1" t="str">
        <f>_xlfn.XLOOKUP(D3, Governorates!B:B, Governorates!E:E, "")</f>
        <v>Gaza</v>
      </c>
      <c r="D3" s="1" t="s">
        <v>119</v>
      </c>
      <c r="E3" s="1">
        <v>13</v>
      </c>
    </row>
    <row r="4" spans="1:5" x14ac:dyDescent="0.25">
      <c r="A4" s="1">
        <v>22</v>
      </c>
      <c r="B4" s="1" t="s">
        <v>119</v>
      </c>
      <c r="C4" s="1" t="str">
        <f>_xlfn.XLOOKUP(D4, Governorates!B:B, Governorates!E:E, "")</f>
        <v>Gaza</v>
      </c>
      <c r="D4" s="1" t="s">
        <v>119</v>
      </c>
      <c r="E4" s="1">
        <v>13</v>
      </c>
    </row>
    <row r="5" spans="1:5" x14ac:dyDescent="0.25">
      <c r="A5" s="1">
        <v>23</v>
      </c>
      <c r="B5" s="1" t="s">
        <v>148</v>
      </c>
      <c r="C5" s="1" t="str">
        <f>_xlfn.XLOOKUP(D5, Governorates!B:B, Governorates!E:E, "")</f>
        <v>Gaza</v>
      </c>
      <c r="D5" s="1" t="s">
        <v>119</v>
      </c>
      <c r="E5" s="1">
        <v>13</v>
      </c>
    </row>
    <row r="6" spans="1:5" x14ac:dyDescent="0.25">
      <c r="A6" s="1">
        <v>24</v>
      </c>
      <c r="B6" s="1" t="s">
        <v>149</v>
      </c>
      <c r="C6" s="1" t="str">
        <f>_xlfn.XLOOKUP(D6, Governorates!B:B, Governorates!E:E, "")</f>
        <v>Rafah</v>
      </c>
      <c r="D6" s="1" t="s">
        <v>142</v>
      </c>
      <c r="E6" s="1">
        <v>16</v>
      </c>
    </row>
    <row r="7" spans="1:5" x14ac:dyDescent="0.25">
      <c r="A7" s="1">
        <v>25</v>
      </c>
      <c r="B7" s="1" t="s">
        <v>150</v>
      </c>
      <c r="C7" s="1" t="str">
        <f>_xlfn.XLOOKUP(D7, Governorates!B:B, Governorates!E:E, "")</f>
        <v>Rafah</v>
      </c>
      <c r="D7" s="1" t="s">
        <v>142</v>
      </c>
      <c r="E7" s="1">
        <v>16</v>
      </c>
    </row>
    <row r="8" spans="1:5" x14ac:dyDescent="0.25">
      <c r="A8" s="1">
        <v>26</v>
      </c>
      <c r="B8" s="1" t="s">
        <v>142</v>
      </c>
      <c r="C8" s="1" t="str">
        <f>_xlfn.XLOOKUP(D8, Governorates!B:B, Governorates!E:E, "")</f>
        <v>Rafah</v>
      </c>
      <c r="D8" s="1" t="s">
        <v>142</v>
      </c>
      <c r="E8" s="1">
        <v>16</v>
      </c>
    </row>
    <row r="9" spans="1:5" x14ac:dyDescent="0.25">
      <c r="A9" s="1">
        <v>27</v>
      </c>
      <c r="B9" s="1" t="s">
        <v>151</v>
      </c>
      <c r="C9" s="1" t="str">
        <f>_xlfn.XLOOKUP(D9, Governorates!B:B, Governorates!E:E, "")</f>
        <v>Khan_younes</v>
      </c>
      <c r="D9" s="1" t="s">
        <v>140</v>
      </c>
      <c r="E9" s="1">
        <v>15</v>
      </c>
    </row>
    <row r="10" spans="1:5" x14ac:dyDescent="0.25">
      <c r="A10" s="1">
        <v>28</v>
      </c>
      <c r="B10" s="1" t="s">
        <v>152</v>
      </c>
      <c r="C10" s="1" t="str">
        <f>_xlfn.XLOOKUP(D10, Governorates!B:B, Governorates!E:E, "")</f>
        <v>Khan_younes</v>
      </c>
      <c r="D10" s="1" t="s">
        <v>140</v>
      </c>
      <c r="E10" s="1">
        <v>15</v>
      </c>
    </row>
    <row r="11" spans="1:5" x14ac:dyDescent="0.25">
      <c r="A11" s="1">
        <v>29</v>
      </c>
      <c r="B11" s="1" t="s">
        <v>153</v>
      </c>
      <c r="C11" s="1" t="str">
        <f>_xlfn.XLOOKUP(D11, Governorates!B:B, Governorates!E:E, "")</f>
        <v>Khan_younes</v>
      </c>
      <c r="D11" s="1" t="s">
        <v>140</v>
      </c>
      <c r="E11" s="1">
        <v>15</v>
      </c>
    </row>
    <row r="12" spans="1:5" x14ac:dyDescent="0.25">
      <c r="A12" s="1">
        <v>30</v>
      </c>
      <c r="B12" s="1" t="s">
        <v>154</v>
      </c>
      <c r="C12" s="1" t="str">
        <f>_xlfn.XLOOKUP(D12, Governorates!B:B, Governorates!E:E, "")</f>
        <v>Khan_younes</v>
      </c>
      <c r="D12" s="1" t="s">
        <v>140</v>
      </c>
      <c r="E12" s="1">
        <v>15</v>
      </c>
    </row>
    <row r="13" spans="1:5" x14ac:dyDescent="0.25">
      <c r="A13" s="1">
        <v>31</v>
      </c>
      <c r="B13" s="1" t="s">
        <v>155</v>
      </c>
      <c r="C13" s="1" t="str">
        <f>_xlfn.XLOOKUP(D13, Governorates!B:B, Governorates!E:E, "")</f>
        <v>Khan_younes</v>
      </c>
      <c r="D13" s="1" t="s">
        <v>140</v>
      </c>
      <c r="E13" s="1">
        <v>15</v>
      </c>
    </row>
    <row r="14" spans="1:5" x14ac:dyDescent="0.25">
      <c r="A14" s="1">
        <v>32</v>
      </c>
      <c r="B14" s="1" t="s">
        <v>156</v>
      </c>
      <c r="C14" s="1" t="str">
        <f>_xlfn.XLOOKUP(D14, Governorates!B:B, Governorates!E:E, "")</f>
        <v>Khan_younes</v>
      </c>
      <c r="D14" s="1" t="s">
        <v>140</v>
      </c>
      <c r="E14" s="1">
        <v>15</v>
      </c>
    </row>
    <row r="15" spans="1:5" x14ac:dyDescent="0.25">
      <c r="A15" s="1">
        <v>33</v>
      </c>
      <c r="B15" s="1" t="s">
        <v>157</v>
      </c>
      <c r="C15" s="1" t="str">
        <f>_xlfn.XLOOKUP(D15, Governorates!B:B, Governorates!E:E, "")</f>
        <v>Khan_younes</v>
      </c>
      <c r="D15" s="1" t="s">
        <v>140</v>
      </c>
      <c r="E15" s="1">
        <v>15</v>
      </c>
    </row>
    <row r="16" spans="1:5" x14ac:dyDescent="0.25">
      <c r="A16" s="1">
        <v>34</v>
      </c>
      <c r="B16" s="1" t="s">
        <v>158</v>
      </c>
      <c r="C16" s="1" t="str">
        <f>_xlfn.XLOOKUP(D16, Governorates!B:B, Governorates!E:E, "")</f>
        <v>Dair_albalah</v>
      </c>
      <c r="D16" s="1" t="s">
        <v>138</v>
      </c>
      <c r="E16" s="1">
        <v>14</v>
      </c>
    </row>
    <row r="17" spans="1:5" x14ac:dyDescent="0.25">
      <c r="A17" s="1">
        <v>35</v>
      </c>
      <c r="B17" s="1" t="s">
        <v>159</v>
      </c>
      <c r="C17" s="1" t="str">
        <f>_xlfn.XLOOKUP(D17, Governorates!B:B, Governorates!E:E, "")</f>
        <v>Dair_albalah</v>
      </c>
      <c r="D17" s="1" t="s">
        <v>138</v>
      </c>
      <c r="E17" s="1">
        <v>14</v>
      </c>
    </row>
    <row r="18" spans="1:5" x14ac:dyDescent="0.25">
      <c r="A18" s="1">
        <v>36</v>
      </c>
      <c r="B18" s="1" t="s">
        <v>160</v>
      </c>
      <c r="C18" s="1" t="str">
        <f>_xlfn.XLOOKUP(D18, Governorates!B:B, Governorates!E:E, "")</f>
        <v>Dair_albalah</v>
      </c>
      <c r="D18" s="1" t="s">
        <v>138</v>
      </c>
      <c r="E18" s="1">
        <v>14</v>
      </c>
    </row>
    <row r="19" spans="1:5" x14ac:dyDescent="0.25">
      <c r="A19" s="1">
        <v>37</v>
      </c>
      <c r="B19" s="1" t="s">
        <v>161</v>
      </c>
      <c r="C19" s="1" t="str">
        <f>_xlfn.XLOOKUP(D19, Governorates!B:B, Governorates!E:E, "")</f>
        <v>Dair_albalah</v>
      </c>
      <c r="D19" s="1" t="s">
        <v>138</v>
      </c>
      <c r="E19" s="1">
        <v>14</v>
      </c>
    </row>
    <row r="20" spans="1:5" x14ac:dyDescent="0.25">
      <c r="A20" s="1">
        <v>38</v>
      </c>
      <c r="B20" s="1" t="s">
        <v>162</v>
      </c>
      <c r="C20" s="1" t="str">
        <f>_xlfn.XLOOKUP(D20, Governorates!B:B, Governorates!E:E, "")</f>
        <v>Dair_albalah</v>
      </c>
      <c r="D20" s="1" t="s">
        <v>138</v>
      </c>
      <c r="E20" s="1">
        <v>14</v>
      </c>
    </row>
    <row r="21" spans="1:5" x14ac:dyDescent="0.25">
      <c r="A21" s="1">
        <v>39</v>
      </c>
      <c r="B21" s="1" t="s">
        <v>163</v>
      </c>
      <c r="C21" s="1" t="str">
        <f>_xlfn.XLOOKUP(D21, Governorates!B:B, Governorates!E:E, "")</f>
        <v>Dair_albalah</v>
      </c>
      <c r="D21" s="1" t="s">
        <v>138</v>
      </c>
      <c r="E21" s="1">
        <v>14</v>
      </c>
    </row>
    <row r="22" spans="1:5" x14ac:dyDescent="0.25">
      <c r="A22" s="1">
        <v>40</v>
      </c>
      <c r="B22" s="1" t="s">
        <v>164</v>
      </c>
      <c r="C22" s="1" t="str">
        <f>_xlfn.XLOOKUP(D22, Governorates!B:B, Governorates!E:E, "")</f>
        <v>Dair_albalah</v>
      </c>
      <c r="D22" s="1" t="s">
        <v>138</v>
      </c>
      <c r="E22" s="1">
        <v>14</v>
      </c>
    </row>
    <row r="23" spans="1:5" x14ac:dyDescent="0.25">
      <c r="A23" s="1">
        <v>41</v>
      </c>
      <c r="B23" s="1" t="s">
        <v>165</v>
      </c>
      <c r="C23" s="1" t="str">
        <f>_xlfn.XLOOKUP(D23, Governorates!B:B, Governorates!E:E, "")</f>
        <v>North_Gaza</v>
      </c>
      <c r="D23" s="1" t="s">
        <v>136</v>
      </c>
      <c r="E23" s="1">
        <v>12</v>
      </c>
    </row>
    <row r="24" spans="1:5" x14ac:dyDescent="0.25">
      <c r="A24" s="1">
        <v>42</v>
      </c>
      <c r="B24" s="1" t="s">
        <v>166</v>
      </c>
      <c r="C24" s="1" t="str">
        <f>_xlfn.XLOOKUP(D24, Governorates!B:B, Governorates!E:E, "")</f>
        <v>North_Gaza</v>
      </c>
      <c r="D24" s="1" t="s">
        <v>136</v>
      </c>
      <c r="E24" s="1">
        <v>12</v>
      </c>
    </row>
    <row r="25" spans="1:5" x14ac:dyDescent="0.25">
      <c r="A25" s="1">
        <v>43</v>
      </c>
      <c r="B25" s="1" t="s">
        <v>167</v>
      </c>
      <c r="C25" s="1" t="str">
        <f>_xlfn.XLOOKUP(D25, Governorates!B:B, Governorates!E:E, "")</f>
        <v>North_Gaza</v>
      </c>
      <c r="D25" s="1" t="s">
        <v>136</v>
      </c>
      <c r="E25" s="1">
        <v>12</v>
      </c>
    </row>
    <row r="26" spans="1:5" x14ac:dyDescent="0.25">
      <c r="A26" s="1">
        <v>44</v>
      </c>
      <c r="B26" s="1" t="s">
        <v>168</v>
      </c>
      <c r="C26" s="1" t="str">
        <f>_xlfn.XLOOKUP(D26, Governorates!B:B, Governorates!E:E, "")</f>
        <v>North_Gaza</v>
      </c>
      <c r="D26" s="1" t="s">
        <v>136</v>
      </c>
      <c r="E26" s="1">
        <v>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4E56B-901B-45D1-9B40-25FCDFE5E54B}">
  <sheetPr codeName="Sheet9"/>
  <dimension ref="A1:C15"/>
  <sheetViews>
    <sheetView workbookViewId="0">
      <selection sqref="A1:C15"/>
    </sheetView>
  </sheetViews>
  <sheetFormatPr defaultRowHeight="15" x14ac:dyDescent="0.25"/>
  <cols>
    <col min="1" max="1" width="5" customWidth="1"/>
    <col min="2" max="2" width="22.5703125" bestFit="1" customWidth="1"/>
    <col min="3" max="3" width="39" bestFit="1" customWidth="1"/>
  </cols>
  <sheetData>
    <row r="1" spans="1:3" x14ac:dyDescent="0.25">
      <c r="A1" s="1" t="s">
        <v>0</v>
      </c>
      <c r="B1" s="1" t="s">
        <v>18</v>
      </c>
      <c r="C1" s="1" t="s">
        <v>69</v>
      </c>
    </row>
    <row r="2" spans="1:3" x14ac:dyDescent="0.25">
      <c r="A2" s="1">
        <v>1</v>
      </c>
      <c r="B2" s="1" t="s">
        <v>169</v>
      </c>
      <c r="C2" s="1" t="s">
        <v>170</v>
      </c>
    </row>
    <row r="3" spans="1:3" x14ac:dyDescent="0.25">
      <c r="A3" s="1">
        <v>2</v>
      </c>
      <c r="B3" s="1" t="s">
        <v>171</v>
      </c>
      <c r="C3" s="1" t="s">
        <v>172</v>
      </c>
    </row>
    <row r="4" spans="1:3" x14ac:dyDescent="0.25">
      <c r="A4" s="1">
        <v>3</v>
      </c>
      <c r="B4" s="1" t="s">
        <v>173</v>
      </c>
      <c r="C4" s="1" t="s">
        <v>174</v>
      </c>
    </row>
    <row r="5" spans="1:3" x14ac:dyDescent="0.25">
      <c r="A5" s="1">
        <v>4</v>
      </c>
      <c r="B5" s="1" t="s">
        <v>175</v>
      </c>
      <c r="C5" s="1" t="s">
        <v>176</v>
      </c>
    </row>
    <row r="6" spans="1:3" x14ac:dyDescent="0.25">
      <c r="A6" s="1">
        <v>5</v>
      </c>
      <c r="B6" s="1" t="s">
        <v>177</v>
      </c>
      <c r="C6" s="1" t="s">
        <v>178</v>
      </c>
    </row>
    <row r="7" spans="1:3" x14ac:dyDescent="0.25">
      <c r="A7" s="1">
        <v>6</v>
      </c>
      <c r="B7" s="1" t="s">
        <v>179</v>
      </c>
      <c r="C7" s="1" t="s">
        <v>180</v>
      </c>
    </row>
    <row r="8" spans="1:3" x14ac:dyDescent="0.25">
      <c r="A8" s="1">
        <v>7</v>
      </c>
      <c r="B8" s="1" t="s">
        <v>181</v>
      </c>
      <c r="C8" s="1" t="s">
        <v>182</v>
      </c>
    </row>
    <row r="9" spans="1:3" x14ac:dyDescent="0.25">
      <c r="A9" s="1">
        <v>8</v>
      </c>
      <c r="B9" s="1" t="s">
        <v>183</v>
      </c>
      <c r="C9" s="1" t="s">
        <v>184</v>
      </c>
    </row>
    <row r="10" spans="1:3" x14ac:dyDescent="0.25">
      <c r="A10" s="1">
        <v>9</v>
      </c>
      <c r="B10" s="1" t="s">
        <v>185</v>
      </c>
      <c r="C10" s="1" t="s">
        <v>186</v>
      </c>
    </row>
    <row r="11" spans="1:3" x14ac:dyDescent="0.25">
      <c r="A11" s="1">
        <v>10</v>
      </c>
      <c r="B11" s="1" t="s">
        <v>187</v>
      </c>
      <c r="C11" s="1" t="s">
        <v>188</v>
      </c>
    </row>
    <row r="12" spans="1:3" x14ac:dyDescent="0.25">
      <c r="A12" s="1">
        <v>11</v>
      </c>
      <c r="B12" s="1" t="s">
        <v>189</v>
      </c>
      <c r="C12" s="1" t="s">
        <v>190</v>
      </c>
    </row>
    <row r="13" spans="1:3" x14ac:dyDescent="0.25">
      <c r="A13" s="1">
        <v>12</v>
      </c>
      <c r="B13" s="1" t="s">
        <v>191</v>
      </c>
      <c r="C13" s="1" t="s">
        <v>192</v>
      </c>
    </row>
    <row r="14" spans="1:3" x14ac:dyDescent="0.25">
      <c r="A14" s="1">
        <v>13</v>
      </c>
      <c r="B14" s="1" t="s">
        <v>84</v>
      </c>
      <c r="C14" s="1" t="s">
        <v>84</v>
      </c>
    </row>
    <row r="15" spans="1:3" x14ac:dyDescent="0.25">
      <c r="A15" s="1">
        <v>14</v>
      </c>
      <c r="B15" s="1" t="s">
        <v>83</v>
      </c>
      <c r="C15" s="1" t="s">
        <v>193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709-EEE9-4686-80E1-9089862F1F4B}">
  <sheetPr codeName="Sheet10"/>
  <dimension ref="A1:D8"/>
  <sheetViews>
    <sheetView workbookViewId="0">
      <selection sqref="A1:D8"/>
    </sheetView>
  </sheetViews>
  <sheetFormatPr defaultRowHeight="15" x14ac:dyDescent="0.25"/>
  <cols>
    <col min="1" max="1" width="5" customWidth="1"/>
    <col min="2" max="2" width="18.5703125" bestFit="1" customWidth="1"/>
    <col min="3" max="3" width="51.7109375" bestFit="1" customWidth="1"/>
    <col min="4" max="4" width="14.85546875" customWidth="1"/>
  </cols>
  <sheetData>
    <row r="1" spans="1:4" x14ac:dyDescent="0.25">
      <c r="A1" s="3" t="s">
        <v>0</v>
      </c>
      <c r="B1" s="3" t="s">
        <v>18</v>
      </c>
      <c r="C1" s="3" t="s">
        <v>69</v>
      </c>
      <c r="D1" s="3" t="s">
        <v>85</v>
      </c>
    </row>
    <row r="2" spans="1:4" x14ac:dyDescent="0.25">
      <c r="A2" s="3">
        <v>1</v>
      </c>
      <c r="B2" s="3" t="s">
        <v>194</v>
      </c>
      <c r="C2" s="3" t="s">
        <v>195</v>
      </c>
      <c r="D2" s="3">
        <v>2</v>
      </c>
    </row>
    <row r="3" spans="1:4" x14ac:dyDescent="0.25">
      <c r="A3" s="3">
        <v>2</v>
      </c>
      <c r="B3" s="3" t="s">
        <v>196</v>
      </c>
      <c r="C3" s="3" t="s">
        <v>197</v>
      </c>
      <c r="D3" s="3">
        <v>2</v>
      </c>
    </row>
    <row r="4" spans="1:4" x14ac:dyDescent="0.25">
      <c r="A4" s="3">
        <v>3</v>
      </c>
      <c r="B4" s="3" t="s">
        <v>198</v>
      </c>
      <c r="C4" s="3" t="s">
        <v>199</v>
      </c>
      <c r="D4" s="3">
        <v>2</v>
      </c>
    </row>
    <row r="5" spans="1:4" x14ac:dyDescent="0.25">
      <c r="A5" s="3">
        <v>4</v>
      </c>
      <c r="B5" s="3" t="s">
        <v>200</v>
      </c>
      <c r="C5" s="3" t="s">
        <v>201</v>
      </c>
      <c r="D5" s="3">
        <v>2</v>
      </c>
    </row>
    <row r="6" spans="1:4" x14ac:dyDescent="0.25">
      <c r="A6" s="3">
        <v>5</v>
      </c>
      <c r="B6" s="3" t="s">
        <v>202</v>
      </c>
      <c r="C6" s="3" t="s">
        <v>203</v>
      </c>
      <c r="D6" s="3">
        <v>2</v>
      </c>
    </row>
    <row r="7" spans="1:4" x14ac:dyDescent="0.25">
      <c r="A7" s="3">
        <v>6</v>
      </c>
      <c r="B7" s="3" t="s">
        <v>204</v>
      </c>
      <c r="C7" s="3" t="s">
        <v>205</v>
      </c>
      <c r="D7" s="3">
        <v>2</v>
      </c>
    </row>
    <row r="8" spans="1:4" x14ac:dyDescent="0.25">
      <c r="A8" s="3">
        <v>7</v>
      </c>
      <c r="B8" s="3" t="s">
        <v>84</v>
      </c>
      <c r="C8" s="3" t="s">
        <v>84</v>
      </c>
      <c r="D8" s="3">
        <v>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CA8E-D735-48D8-B4DB-CB3BA0451C20}">
  <sheetPr codeName="Sheet13"/>
  <dimension ref="A1:C8"/>
  <sheetViews>
    <sheetView workbookViewId="0">
      <selection sqref="A1:C8"/>
    </sheetView>
  </sheetViews>
  <sheetFormatPr defaultRowHeight="15" x14ac:dyDescent="0.25"/>
  <cols>
    <col min="1" max="1" width="5" customWidth="1"/>
    <col min="2" max="2" width="20.140625" bestFit="1" customWidth="1"/>
    <col min="3" max="3" width="11.42578125" bestFit="1" customWidth="1"/>
  </cols>
  <sheetData>
    <row r="1" spans="1:3" x14ac:dyDescent="0.25">
      <c r="A1" s="3" t="s">
        <v>0</v>
      </c>
      <c r="B1" s="3" t="s">
        <v>18</v>
      </c>
      <c r="C1" s="3" t="s">
        <v>69</v>
      </c>
    </row>
    <row r="2" spans="1:3" x14ac:dyDescent="0.25">
      <c r="A2" s="3">
        <v>1</v>
      </c>
      <c r="B2" s="3" t="s">
        <v>206</v>
      </c>
      <c r="C2" s="3" t="s">
        <v>207</v>
      </c>
    </row>
    <row r="3" spans="1:3" x14ac:dyDescent="0.25">
      <c r="A3" s="3">
        <v>2</v>
      </c>
      <c r="B3" s="3" t="s">
        <v>208</v>
      </c>
      <c r="C3" s="3" t="s">
        <v>209</v>
      </c>
    </row>
    <row r="4" spans="1:3" x14ac:dyDescent="0.25">
      <c r="A4" s="3">
        <v>3</v>
      </c>
      <c r="B4" s="3" t="s">
        <v>210</v>
      </c>
      <c r="C4" s="3" t="s">
        <v>211</v>
      </c>
    </row>
    <row r="5" spans="1:3" x14ac:dyDescent="0.25">
      <c r="A5" s="3">
        <v>4</v>
      </c>
      <c r="B5" s="3" t="s">
        <v>212</v>
      </c>
      <c r="C5" s="3" t="s">
        <v>213</v>
      </c>
    </row>
    <row r="6" spans="1:3" x14ac:dyDescent="0.25">
      <c r="A6" s="3">
        <v>5</v>
      </c>
      <c r="B6" s="3" t="s">
        <v>214</v>
      </c>
      <c r="C6" s="3" t="s">
        <v>215</v>
      </c>
    </row>
    <row r="7" spans="1:3" x14ac:dyDescent="0.25">
      <c r="A7" s="3">
        <v>6</v>
      </c>
      <c r="B7" s="3" t="s">
        <v>216</v>
      </c>
      <c r="C7" s="3" t="s">
        <v>217</v>
      </c>
    </row>
    <row r="8" spans="1:3" x14ac:dyDescent="0.25">
      <c r="A8" s="3">
        <v>7</v>
      </c>
      <c r="B8" s="3" t="s">
        <v>100</v>
      </c>
      <c r="C8" s="3" t="s">
        <v>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EE01-5F97-4303-8C22-3C73208BAC16}">
  <sheetPr codeName="Sheet14"/>
  <dimension ref="A1:C7"/>
  <sheetViews>
    <sheetView workbookViewId="0">
      <selection sqref="A1:C7"/>
    </sheetView>
  </sheetViews>
  <sheetFormatPr defaultRowHeight="15" x14ac:dyDescent="0.25"/>
  <cols>
    <col min="1" max="1" width="5" customWidth="1"/>
    <col min="2" max="2" width="10.85546875" bestFit="1" customWidth="1"/>
    <col min="3" max="3" width="17.28515625" bestFit="1" customWidth="1"/>
  </cols>
  <sheetData>
    <row r="1" spans="1:3" x14ac:dyDescent="0.25">
      <c r="A1" s="3" t="s">
        <v>0</v>
      </c>
      <c r="B1" s="3" t="s">
        <v>18</v>
      </c>
      <c r="C1" s="3" t="s">
        <v>69</v>
      </c>
    </row>
    <row r="2" spans="1:3" x14ac:dyDescent="0.25">
      <c r="A2" s="3">
        <v>1</v>
      </c>
      <c r="B2" s="3" t="s">
        <v>206</v>
      </c>
      <c r="C2" s="3" t="s">
        <v>207</v>
      </c>
    </row>
    <row r="3" spans="1:3" x14ac:dyDescent="0.25">
      <c r="A3" s="3">
        <v>2</v>
      </c>
      <c r="B3" s="3" t="s">
        <v>212</v>
      </c>
      <c r="C3" s="3" t="s">
        <v>213</v>
      </c>
    </row>
    <row r="4" spans="1:3" x14ac:dyDescent="0.25">
      <c r="A4" s="3">
        <v>3</v>
      </c>
      <c r="B4" s="3" t="s">
        <v>218</v>
      </c>
      <c r="C4" s="3" t="s">
        <v>219</v>
      </c>
    </row>
    <row r="5" spans="1:3" x14ac:dyDescent="0.25">
      <c r="A5" s="3">
        <v>4</v>
      </c>
      <c r="B5" s="3" t="s">
        <v>220</v>
      </c>
      <c r="C5" s="3" t="s">
        <v>221</v>
      </c>
    </row>
    <row r="6" spans="1:3" x14ac:dyDescent="0.25">
      <c r="A6" s="3">
        <v>5</v>
      </c>
      <c r="B6" s="3" t="s">
        <v>84</v>
      </c>
      <c r="C6" s="3" t="s">
        <v>84</v>
      </c>
    </row>
    <row r="7" spans="1:3" x14ac:dyDescent="0.25">
      <c r="A7" s="3">
        <v>6</v>
      </c>
      <c r="B7" s="3" t="s">
        <v>222</v>
      </c>
      <c r="C7" s="3" t="s">
        <v>223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8EDDF-BE86-4CB5-A51E-7C2F17FA3523}">
  <sheetPr codeName="Sheet15"/>
  <dimension ref="A1:B13"/>
  <sheetViews>
    <sheetView workbookViewId="0">
      <selection activeCell="B1" sqref="A1:B13"/>
    </sheetView>
  </sheetViews>
  <sheetFormatPr defaultRowHeight="15" x14ac:dyDescent="0.25"/>
  <cols>
    <col min="1" max="1" width="5" customWidth="1"/>
    <col min="2" max="2" width="16" bestFit="1" customWidth="1"/>
  </cols>
  <sheetData>
    <row r="1" spans="1:2" x14ac:dyDescent="0.25">
      <c r="A1" s="3" t="s">
        <v>0</v>
      </c>
      <c r="B1" s="3" t="s">
        <v>45</v>
      </c>
    </row>
    <row r="2" spans="1:2" x14ac:dyDescent="0.25">
      <c r="A2" s="3">
        <v>1</v>
      </c>
      <c r="B2" s="3" t="s">
        <v>224</v>
      </c>
    </row>
    <row r="3" spans="1:2" x14ac:dyDescent="0.25">
      <c r="A3" s="3">
        <v>2</v>
      </c>
      <c r="B3" s="3" t="s">
        <v>225</v>
      </c>
    </row>
    <row r="4" spans="1:2" x14ac:dyDescent="0.25">
      <c r="A4" s="3">
        <v>3</v>
      </c>
      <c r="B4" s="3" t="s">
        <v>226</v>
      </c>
    </row>
    <row r="5" spans="1:2" x14ac:dyDescent="0.25">
      <c r="A5" s="3">
        <v>4</v>
      </c>
      <c r="B5" s="3" t="s">
        <v>227</v>
      </c>
    </row>
    <row r="6" spans="1:2" x14ac:dyDescent="0.25">
      <c r="A6" s="3">
        <v>5</v>
      </c>
      <c r="B6" s="3" t="s">
        <v>228</v>
      </c>
    </row>
    <row r="7" spans="1:2" x14ac:dyDescent="0.25">
      <c r="A7" s="3">
        <v>6</v>
      </c>
      <c r="B7" s="3" t="s">
        <v>229</v>
      </c>
    </row>
    <row r="8" spans="1:2" x14ac:dyDescent="0.25">
      <c r="A8" s="3">
        <v>7</v>
      </c>
      <c r="B8" s="3" t="s">
        <v>230</v>
      </c>
    </row>
    <row r="9" spans="1:2" x14ac:dyDescent="0.25">
      <c r="A9" s="3">
        <v>15</v>
      </c>
      <c r="B9" s="3" t="s">
        <v>231</v>
      </c>
    </row>
    <row r="10" spans="1:2" x14ac:dyDescent="0.25">
      <c r="A10" s="3">
        <v>16</v>
      </c>
      <c r="B10" s="3" t="s">
        <v>232</v>
      </c>
    </row>
    <row r="11" spans="1:2" x14ac:dyDescent="0.25">
      <c r="A11" s="3">
        <v>17</v>
      </c>
      <c r="B11" s="3" t="s">
        <v>233</v>
      </c>
    </row>
    <row r="12" spans="1:2" x14ac:dyDescent="0.25">
      <c r="A12" s="3">
        <v>18</v>
      </c>
      <c r="B12" s="3" t="s">
        <v>234</v>
      </c>
    </row>
    <row r="13" spans="1:2" x14ac:dyDescent="0.25">
      <c r="A13" s="3">
        <v>27</v>
      </c>
      <c r="B13" s="3" t="s">
        <v>112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6FECE-3958-4EF7-A472-DEC364C516BC}">
  <sheetPr codeName="Sheet16"/>
  <dimension ref="A1:F22"/>
  <sheetViews>
    <sheetView workbookViewId="0">
      <selection activeCell="F5" sqref="F5"/>
    </sheetView>
  </sheetViews>
  <sheetFormatPr defaultRowHeight="15" x14ac:dyDescent="0.25"/>
  <cols>
    <col min="1" max="1" width="5" customWidth="1"/>
    <col min="2" max="2" width="10.5703125" customWidth="1"/>
    <col min="3" max="3" width="11.5703125" customWidth="1"/>
    <col min="4" max="4" width="16" bestFit="1" customWidth="1"/>
    <col min="5" max="5" width="20.28515625" bestFit="1" customWidth="1"/>
    <col min="6" max="6" width="40" bestFit="1" customWidth="1"/>
  </cols>
  <sheetData>
    <row r="1" spans="1:6" x14ac:dyDescent="0.25">
      <c r="A1" s="3" t="s">
        <v>0</v>
      </c>
      <c r="B1" s="3" t="s">
        <v>235</v>
      </c>
      <c r="C1" s="3" t="s">
        <v>236</v>
      </c>
      <c r="D1" s="3" t="s">
        <v>45</v>
      </c>
      <c r="E1" s="3" t="s">
        <v>47</v>
      </c>
      <c r="F1" s="3" t="s">
        <v>237</v>
      </c>
    </row>
    <row r="2" spans="1:6" x14ac:dyDescent="0.25">
      <c r="A2" s="3">
        <v>82</v>
      </c>
      <c r="B2" s="3">
        <v>2</v>
      </c>
      <c r="C2" s="3">
        <v>1</v>
      </c>
      <c r="D2" s="3" t="s">
        <v>224</v>
      </c>
      <c r="E2" s="3" t="s">
        <v>55</v>
      </c>
      <c r="F2" s="3" t="s">
        <v>238</v>
      </c>
    </row>
    <row r="3" spans="1:6" x14ac:dyDescent="0.25">
      <c r="A3" s="3">
        <v>83</v>
      </c>
      <c r="B3" s="3">
        <v>2</v>
      </c>
      <c r="C3" s="3">
        <v>2</v>
      </c>
      <c r="D3" s="3" t="s">
        <v>225</v>
      </c>
      <c r="E3" s="3" t="s">
        <v>52</v>
      </c>
      <c r="F3" s="3" t="s">
        <v>239</v>
      </c>
    </row>
    <row r="4" spans="1:6" x14ac:dyDescent="0.25">
      <c r="A4" s="3">
        <v>84</v>
      </c>
      <c r="B4" s="3">
        <v>2</v>
      </c>
      <c r="C4" s="3">
        <v>3</v>
      </c>
      <c r="D4" s="3" t="s">
        <v>226</v>
      </c>
      <c r="E4" s="3" t="s">
        <v>60</v>
      </c>
      <c r="F4" s="3" t="s">
        <v>240</v>
      </c>
    </row>
    <row r="5" spans="1:6" x14ac:dyDescent="0.25">
      <c r="A5" s="3">
        <v>85</v>
      </c>
      <c r="B5" s="3">
        <v>2</v>
      </c>
      <c r="C5" s="3">
        <v>4</v>
      </c>
      <c r="D5" s="3" t="s">
        <v>227</v>
      </c>
      <c r="E5" s="3" t="s">
        <v>59</v>
      </c>
      <c r="F5" s="3" t="s">
        <v>241</v>
      </c>
    </row>
    <row r="6" spans="1:6" x14ac:dyDescent="0.25">
      <c r="A6" s="3">
        <v>86</v>
      </c>
      <c r="B6" s="3">
        <v>2</v>
      </c>
      <c r="C6" s="3">
        <v>5</v>
      </c>
      <c r="D6" s="3" t="s">
        <v>228</v>
      </c>
      <c r="E6" s="3" t="s">
        <v>56</v>
      </c>
      <c r="F6" s="3" t="s">
        <v>242</v>
      </c>
    </row>
    <row r="7" spans="1:6" x14ac:dyDescent="0.25">
      <c r="A7" s="3">
        <v>87</v>
      </c>
      <c r="B7" s="3">
        <v>2</v>
      </c>
      <c r="C7" s="3">
        <v>6</v>
      </c>
      <c r="D7" s="3" t="s">
        <v>229</v>
      </c>
      <c r="E7" s="3" t="s">
        <v>54</v>
      </c>
      <c r="F7" s="3" t="s">
        <v>243</v>
      </c>
    </row>
    <row r="8" spans="1:6" x14ac:dyDescent="0.25">
      <c r="A8" s="3">
        <v>88</v>
      </c>
      <c r="B8" s="3">
        <v>2</v>
      </c>
      <c r="C8" s="3">
        <v>7</v>
      </c>
      <c r="D8" s="3" t="s">
        <v>230</v>
      </c>
      <c r="E8" s="3" t="s">
        <v>60</v>
      </c>
      <c r="F8" s="3" t="s">
        <v>240</v>
      </c>
    </row>
    <row r="9" spans="1:6" x14ac:dyDescent="0.25">
      <c r="A9" s="3">
        <v>96</v>
      </c>
      <c r="B9" s="3">
        <v>2</v>
      </c>
      <c r="C9" s="3">
        <v>15</v>
      </c>
      <c r="D9" s="3" t="s">
        <v>231</v>
      </c>
      <c r="E9" s="3" t="s">
        <v>53</v>
      </c>
      <c r="F9" s="3" t="s">
        <v>244</v>
      </c>
    </row>
    <row r="10" spans="1:6" x14ac:dyDescent="0.25">
      <c r="A10" s="3">
        <v>97</v>
      </c>
      <c r="B10" s="3">
        <v>2</v>
      </c>
      <c r="C10" s="3">
        <v>16</v>
      </c>
      <c r="D10" s="3" t="s">
        <v>232</v>
      </c>
      <c r="E10" s="3" t="s">
        <v>53</v>
      </c>
      <c r="F10" s="3" t="s">
        <v>244</v>
      </c>
    </row>
    <row r="11" spans="1:6" x14ac:dyDescent="0.25">
      <c r="A11" s="3">
        <v>98</v>
      </c>
      <c r="B11" s="3">
        <v>2</v>
      </c>
      <c r="C11" s="3">
        <v>17</v>
      </c>
      <c r="D11" s="3" t="s">
        <v>233</v>
      </c>
      <c r="E11" s="3" t="s">
        <v>58</v>
      </c>
      <c r="F11" s="3" t="s">
        <v>245</v>
      </c>
    </row>
    <row r="12" spans="1:6" x14ac:dyDescent="0.25">
      <c r="A12" s="3">
        <v>99</v>
      </c>
      <c r="B12" s="3">
        <v>1</v>
      </c>
      <c r="C12" s="3">
        <v>1</v>
      </c>
      <c r="D12" s="3" t="s">
        <v>224</v>
      </c>
      <c r="E12" s="3" t="s">
        <v>63</v>
      </c>
      <c r="F12" s="3" t="s">
        <v>246</v>
      </c>
    </row>
    <row r="13" spans="1:6" x14ac:dyDescent="0.25">
      <c r="A13" s="3">
        <v>100</v>
      </c>
      <c r="B13" s="3">
        <v>1</v>
      </c>
      <c r="C13" s="3">
        <v>1</v>
      </c>
      <c r="D13" s="3" t="s">
        <v>224</v>
      </c>
      <c r="E13" s="3" t="s">
        <v>66</v>
      </c>
      <c r="F13" s="3" t="s">
        <v>247</v>
      </c>
    </row>
    <row r="14" spans="1:6" x14ac:dyDescent="0.25">
      <c r="A14" s="3">
        <v>101</v>
      </c>
      <c r="B14" s="3">
        <v>1</v>
      </c>
      <c r="C14" s="3">
        <v>2</v>
      </c>
      <c r="D14" s="3" t="s">
        <v>225</v>
      </c>
      <c r="E14" s="3" t="s">
        <v>61</v>
      </c>
      <c r="F14" s="3" t="s">
        <v>248</v>
      </c>
    </row>
    <row r="15" spans="1:6" x14ac:dyDescent="0.25">
      <c r="A15" s="3">
        <v>102</v>
      </c>
      <c r="B15" s="3">
        <v>1</v>
      </c>
      <c r="C15" s="3">
        <v>5</v>
      </c>
      <c r="D15" s="3" t="s">
        <v>228</v>
      </c>
      <c r="E15" s="3" t="s">
        <v>64</v>
      </c>
      <c r="F15" s="3" t="s">
        <v>249</v>
      </c>
    </row>
    <row r="16" spans="1:6" x14ac:dyDescent="0.25">
      <c r="A16" s="3">
        <v>103</v>
      </c>
      <c r="B16" s="3">
        <v>1</v>
      </c>
      <c r="C16" s="3">
        <v>5</v>
      </c>
      <c r="D16" s="3" t="s">
        <v>228</v>
      </c>
      <c r="E16" s="3" t="s">
        <v>67</v>
      </c>
      <c r="F16" s="3" t="s">
        <v>250</v>
      </c>
    </row>
    <row r="17" spans="1:6" x14ac:dyDescent="0.25">
      <c r="A17" s="3">
        <v>104</v>
      </c>
      <c r="B17" s="3">
        <v>1</v>
      </c>
      <c r="C17" s="3">
        <v>6</v>
      </c>
      <c r="D17" s="3" t="s">
        <v>229</v>
      </c>
      <c r="E17" s="3" t="s">
        <v>62</v>
      </c>
      <c r="F17" s="3" t="s">
        <v>251</v>
      </c>
    </row>
    <row r="18" spans="1:6" x14ac:dyDescent="0.25">
      <c r="A18" s="3">
        <v>105</v>
      </c>
      <c r="B18" s="3">
        <v>1</v>
      </c>
      <c r="C18" s="3">
        <v>15</v>
      </c>
      <c r="D18" s="3" t="s">
        <v>231</v>
      </c>
      <c r="E18" s="3" t="s">
        <v>53</v>
      </c>
      <c r="F18" s="3" t="s">
        <v>244</v>
      </c>
    </row>
    <row r="19" spans="1:6" x14ac:dyDescent="0.25">
      <c r="A19" s="3">
        <v>106</v>
      </c>
      <c r="B19" s="3">
        <v>1</v>
      </c>
      <c r="C19" s="3">
        <v>16</v>
      </c>
      <c r="D19" s="3" t="s">
        <v>232</v>
      </c>
      <c r="E19" s="3" t="s">
        <v>53</v>
      </c>
      <c r="F19" s="3" t="s">
        <v>244</v>
      </c>
    </row>
    <row r="20" spans="1:6" x14ac:dyDescent="0.25">
      <c r="A20" s="3">
        <v>107</v>
      </c>
      <c r="B20" s="3">
        <v>1</v>
      </c>
      <c r="C20" s="3">
        <v>17</v>
      </c>
      <c r="D20" s="3" t="s">
        <v>233</v>
      </c>
      <c r="E20" s="3" t="s">
        <v>58</v>
      </c>
      <c r="F20" s="3" t="s">
        <v>245</v>
      </c>
    </row>
    <row r="21" spans="1:6" x14ac:dyDescent="0.25">
      <c r="A21" s="3">
        <v>108</v>
      </c>
      <c r="B21" s="3">
        <v>1</v>
      </c>
      <c r="C21" s="3">
        <v>27</v>
      </c>
      <c r="D21" s="3" t="s">
        <v>112</v>
      </c>
      <c r="E21" s="3" t="s">
        <v>57</v>
      </c>
      <c r="F21" s="3" t="s">
        <v>252</v>
      </c>
    </row>
    <row r="22" spans="1:6" x14ac:dyDescent="0.25">
      <c r="A22" s="3">
        <v>109</v>
      </c>
      <c r="B22" s="3"/>
      <c r="C22" s="3">
        <v>2</v>
      </c>
      <c r="D22" s="3" t="s">
        <v>225</v>
      </c>
      <c r="E22" s="3" t="s">
        <v>65</v>
      </c>
      <c r="F22" s="3" t="s">
        <v>253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C66D882C8FFB43AEA4EEB10C41ABC1" ma:contentTypeVersion="3" ma:contentTypeDescription="Create a new document." ma:contentTypeScope="" ma:versionID="170a540c55a9058703f3b888566151fe">
  <xsd:schema xmlns:xsd="http://www.w3.org/2001/XMLSchema" xmlns:xs="http://www.w3.org/2001/XMLSchema" xmlns:p="http://schemas.microsoft.com/office/2006/metadata/properties" xmlns:ns2="1e95f330-4206-4b69-9f1b-39ed2f4f0ac7" targetNamespace="http://schemas.microsoft.com/office/2006/metadata/properties" ma:root="true" ma:fieldsID="93085dfaab691e64bd248b9aa89834e1" ns2:_="">
    <xsd:import namespace="1e95f330-4206-4b69-9f1b-39ed2f4f0a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5f330-4206-4b69-9f1b-39ed2f4f0a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DE9A7852-9255-4784-A84C-D78770F8794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03B82F3-585C-4091-ACDA-1BF3B4B447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6186062-233C-4B1B-AD0D-9DE7279B03D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3E9ECB6-86B5-4329-A76F-0B2A034668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95f330-4206-4b69-9f1b-39ed2f4f0a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111C4FCA-4A20-4457-B2E1-D6086668884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Update oPt Cases</vt:lpstr>
      <vt:lpstr>sector-wise-focal</vt:lpstr>
      <vt:lpstr>Categories</vt:lpstr>
      <vt:lpstr>Assistance Type</vt:lpstr>
      <vt:lpstr>Feedback</vt:lpstr>
      <vt:lpstr>Breaches</vt:lpstr>
      <vt:lpstr>Negative</vt:lpstr>
      <vt:lpstr>Location</vt:lpstr>
      <vt:lpstr>Governorates</vt:lpstr>
      <vt:lpstr>settlements_gaza</vt:lpstr>
      <vt:lpstr>ongoing_activities</vt:lpstr>
      <vt:lpstr>sub_categories</vt:lpstr>
      <vt:lpstr>means</vt:lpstr>
      <vt:lpstr>channel</vt:lpstr>
      <vt:lpstr>Sectors</vt:lpstr>
      <vt:lpstr>focal_point</vt:lpstr>
      <vt:lpstr>CP</vt:lpstr>
      <vt:lpstr>CSG</vt:lpstr>
      <vt:lpstr>CVA</vt:lpstr>
      <vt:lpstr>Educ</vt:lpstr>
      <vt:lpstr>FP_CP</vt:lpstr>
      <vt:lpstr>FP_CVA</vt:lpstr>
      <vt:lpstr>FP_Educ</vt:lpstr>
      <vt:lpstr>FP_FSL</vt:lpstr>
      <vt:lpstr>Fraud</vt:lpstr>
      <vt:lpstr>FSL</vt:lpstr>
      <vt:lpstr>Health_Nutrition</vt:lpstr>
      <vt:lpstr>HR</vt:lpstr>
      <vt:lpstr>PSEA</vt:lpstr>
      <vt:lpstr>Security_threats</vt:lpstr>
      <vt:lpstr>Shelter</vt:lpstr>
      <vt:lpstr>WASH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Apu, Emdadul</dc:creator>
  <cp:keywords/>
  <dc:description/>
  <cp:lastModifiedBy>Apu, Emdadul</cp:lastModifiedBy>
  <cp:revision/>
  <dcterms:created xsi:type="dcterms:W3CDTF">2025-06-25T07:54:21Z</dcterms:created>
  <dcterms:modified xsi:type="dcterms:W3CDTF">2025-07-16T08:47:16Z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0x010100A4C66D882C8FFB43AEA4EEB10C41ABC1</vt:lpwstr>
  </property>
</Properties>
</file>